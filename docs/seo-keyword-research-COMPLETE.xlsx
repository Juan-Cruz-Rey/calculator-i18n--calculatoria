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C\OneDrive\Desktop\calculator-i18n\docs\"/>
    </mc:Choice>
  </mc:AlternateContent>
  <xr:revisionPtr revIDLastSave="0" documentId="13_ncr:1_{48921E16-35A7-45B2-82CD-5A440FE67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O Keyword Rese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3" i="1" l="1"/>
  <c r="N153" i="1" s="1"/>
  <c r="M133" i="1"/>
  <c r="N133" i="1" s="1"/>
  <c r="M350" i="1"/>
  <c r="N350" i="1" s="1"/>
  <c r="M369" i="1"/>
  <c r="N369" i="1" s="1"/>
  <c r="M322" i="1"/>
  <c r="N322" i="1" s="1"/>
  <c r="M285" i="1"/>
  <c r="N285" i="1" s="1"/>
  <c r="M321" i="1"/>
  <c r="N321" i="1" s="1"/>
  <c r="M420" i="1"/>
  <c r="N420" i="1" s="1"/>
  <c r="M301" i="1"/>
  <c r="N301" i="1" s="1"/>
  <c r="M298" i="1"/>
  <c r="N298" i="1" s="1"/>
  <c r="M325" i="1"/>
  <c r="N325" i="1" s="1"/>
  <c r="M283" i="1"/>
  <c r="N283" i="1" s="1"/>
  <c r="M192" i="1"/>
  <c r="N192" i="1" s="1"/>
  <c r="M198" i="1"/>
  <c r="N198" i="1" s="1"/>
  <c r="M274" i="1"/>
  <c r="N274" i="1" s="1"/>
  <c r="M176" i="1"/>
  <c r="N176" i="1" s="1"/>
  <c r="M208" i="1"/>
  <c r="N208" i="1" s="1"/>
  <c r="M124" i="1"/>
  <c r="N124" i="1" s="1"/>
  <c r="M368" i="1"/>
  <c r="N368" i="1" s="1"/>
  <c r="M361" i="1"/>
  <c r="N361" i="1" s="1"/>
  <c r="M407" i="1"/>
  <c r="N407" i="1" s="1"/>
  <c r="M243" i="1"/>
  <c r="N243" i="1" s="1"/>
  <c r="M384" i="1"/>
  <c r="N384" i="1" s="1"/>
  <c r="M222" i="1"/>
  <c r="N222" i="1" s="1"/>
  <c r="M203" i="1"/>
  <c r="N203" i="1" s="1"/>
  <c r="M45" i="1"/>
  <c r="N45" i="1" s="1"/>
  <c r="M84" i="1"/>
  <c r="N84" i="1" s="1"/>
  <c r="M150" i="1"/>
  <c r="N150" i="1" s="1"/>
  <c r="M65" i="1"/>
  <c r="N65" i="1" s="1"/>
  <c r="M118" i="1"/>
  <c r="N118" i="1" s="1"/>
  <c r="M113" i="1"/>
  <c r="N113" i="1" s="1"/>
  <c r="M199" i="1"/>
  <c r="N199" i="1" s="1"/>
  <c r="M11" i="1"/>
  <c r="N11" i="1" s="1"/>
  <c r="M58" i="1"/>
  <c r="N58" i="1" s="1"/>
  <c r="M56" i="1"/>
  <c r="N56" i="1" s="1"/>
  <c r="M239" i="1"/>
  <c r="N239" i="1" s="1"/>
  <c r="M264" i="1"/>
  <c r="N264" i="1" s="1"/>
  <c r="M335" i="1"/>
  <c r="N335" i="1" s="1"/>
  <c r="M417" i="1"/>
  <c r="N417" i="1" s="1"/>
  <c r="M280" i="1"/>
  <c r="N280" i="1" s="1"/>
  <c r="M238" i="1"/>
  <c r="N238" i="1" s="1"/>
  <c r="M330" i="1"/>
  <c r="N330" i="1" s="1"/>
  <c r="M389" i="1"/>
  <c r="N389" i="1" s="1"/>
  <c r="M377" i="1"/>
  <c r="N377" i="1" s="1"/>
  <c r="M385" i="1"/>
  <c r="N385" i="1" s="1"/>
  <c r="M419" i="1"/>
  <c r="N419" i="1" s="1"/>
  <c r="M404" i="1"/>
  <c r="N404" i="1" s="1"/>
  <c r="M354" i="1"/>
  <c r="N354" i="1" s="1"/>
  <c r="M152" i="1"/>
  <c r="N152" i="1" s="1"/>
  <c r="M196" i="1"/>
  <c r="N196" i="1" s="1"/>
  <c r="M132" i="1"/>
  <c r="N132" i="1" s="1"/>
  <c r="M91" i="1"/>
  <c r="N91" i="1" s="1"/>
  <c r="M318" i="1"/>
  <c r="N318" i="1" s="1"/>
  <c r="M127" i="1"/>
  <c r="N127" i="1" s="1"/>
  <c r="M32" i="1"/>
  <c r="N32" i="1" s="1"/>
  <c r="M299" i="1"/>
  <c r="N299" i="1" s="1"/>
  <c r="M245" i="1"/>
  <c r="N245" i="1" s="1"/>
  <c r="M60" i="1"/>
  <c r="N60" i="1" s="1"/>
  <c r="M181" i="1"/>
  <c r="N181" i="1" s="1"/>
  <c r="M112" i="1"/>
  <c r="N112" i="1" s="1"/>
  <c r="M313" i="1"/>
  <c r="N313" i="1" s="1"/>
  <c r="M323" i="1"/>
  <c r="N323" i="1" s="1"/>
  <c r="M334" i="1"/>
  <c r="N334" i="1" s="1"/>
  <c r="M320" i="1"/>
  <c r="N320" i="1" s="1"/>
  <c r="M314" i="1"/>
  <c r="N314" i="1" s="1"/>
  <c r="M398" i="1"/>
  <c r="N398" i="1" s="1"/>
  <c r="M311" i="1"/>
  <c r="N311" i="1" s="1"/>
  <c r="M200" i="1"/>
  <c r="N200" i="1" s="1"/>
  <c r="M328" i="1"/>
  <c r="N328" i="1" s="1"/>
  <c r="M401" i="1"/>
  <c r="N401" i="1" s="1"/>
  <c r="M327" i="1"/>
  <c r="N327" i="1" s="1"/>
  <c r="M96" i="1"/>
  <c r="N96" i="1" s="1"/>
  <c r="M129" i="1"/>
  <c r="N129" i="1" s="1"/>
  <c r="M194" i="1"/>
  <c r="N194" i="1" s="1"/>
  <c r="M52" i="1"/>
  <c r="N52" i="1" s="1"/>
  <c r="M131" i="1"/>
  <c r="N131" i="1" s="1"/>
  <c r="M305" i="1"/>
  <c r="N305" i="1" s="1"/>
  <c r="M206" i="1"/>
  <c r="N206" i="1" s="1"/>
  <c r="M151" i="1"/>
  <c r="N151" i="1" s="1"/>
  <c r="M162" i="1"/>
  <c r="N162" i="1" s="1"/>
  <c r="M171" i="1"/>
  <c r="N171" i="1" s="1"/>
  <c r="M329" i="1"/>
  <c r="N329" i="1" s="1"/>
  <c r="M138" i="1"/>
  <c r="N138" i="1" s="1"/>
  <c r="M62" i="1"/>
  <c r="N62" i="1" s="1"/>
  <c r="M286" i="1"/>
  <c r="N286" i="1" s="1"/>
  <c r="M108" i="1"/>
  <c r="N108" i="1" s="1"/>
  <c r="M121" i="1"/>
  <c r="N121" i="1" s="1"/>
  <c r="M128" i="1"/>
  <c r="N128" i="1" s="1"/>
  <c r="M209" i="1"/>
  <c r="N209" i="1" s="1"/>
  <c r="M223" i="1"/>
  <c r="N223" i="1" s="1"/>
  <c r="M51" i="1"/>
  <c r="N51" i="1" s="1"/>
  <c r="M363" i="1"/>
  <c r="N363" i="1" s="1"/>
  <c r="M170" i="1"/>
  <c r="N170" i="1" s="1"/>
  <c r="M120" i="1"/>
  <c r="N120" i="1" s="1"/>
  <c r="M179" i="1"/>
  <c r="N179" i="1" s="1"/>
  <c r="M180" i="1"/>
  <c r="N180" i="1" s="1"/>
  <c r="M345" i="1"/>
  <c r="N345" i="1" s="1"/>
  <c r="M408" i="1"/>
  <c r="N408" i="1" s="1"/>
  <c r="M165" i="1"/>
  <c r="N165" i="1" s="1"/>
  <c r="M262" i="1"/>
  <c r="N262" i="1" s="1"/>
  <c r="M309" i="1"/>
  <c r="N309" i="1" s="1"/>
  <c r="M308" i="1"/>
  <c r="N308" i="1" s="1"/>
  <c r="M382" i="1"/>
  <c r="N382" i="1" s="1"/>
  <c r="M232" i="1"/>
  <c r="N232" i="1" s="1"/>
  <c r="M110" i="1"/>
  <c r="N110" i="1" s="1"/>
  <c r="M338" i="1"/>
  <c r="N338" i="1" s="1"/>
  <c r="M253" i="1"/>
  <c r="N253" i="1" s="1"/>
  <c r="M422" i="1"/>
  <c r="N422" i="1" s="1"/>
  <c r="M267" i="1"/>
  <c r="N267" i="1" s="1"/>
  <c r="M212" i="1"/>
  <c r="N212" i="1" s="1"/>
  <c r="M349" i="1"/>
  <c r="N349" i="1" s="1"/>
  <c r="M300" i="1"/>
  <c r="N300" i="1" s="1"/>
  <c r="M143" i="1"/>
  <c r="N143" i="1" s="1"/>
  <c r="M63" i="1"/>
  <c r="N63" i="1" s="1"/>
  <c r="M81" i="1"/>
  <c r="N81" i="1" s="1"/>
  <c r="M292" i="1"/>
  <c r="N292" i="1" s="1"/>
  <c r="M111" i="1"/>
  <c r="N111" i="1" s="1"/>
  <c r="M38" i="1"/>
  <c r="N38" i="1" s="1"/>
  <c r="M339" i="1"/>
  <c r="N339" i="1" s="1"/>
  <c r="M31" i="1"/>
  <c r="N31" i="1" s="1"/>
  <c r="M391" i="1"/>
  <c r="N391" i="1" s="1"/>
  <c r="M204" i="1"/>
  <c r="N204" i="1" s="1"/>
  <c r="M183" i="1"/>
  <c r="N183" i="1" s="1"/>
  <c r="M141" i="1"/>
  <c r="N141" i="1" s="1"/>
  <c r="M233" i="1"/>
  <c r="N233" i="1" s="1"/>
  <c r="M261" i="1"/>
  <c r="N261" i="1" s="1"/>
  <c r="M258" i="1"/>
  <c r="N258" i="1" s="1"/>
  <c r="M80" i="1"/>
  <c r="N80" i="1" s="1"/>
  <c r="M383" i="1"/>
  <c r="N383" i="1" s="1"/>
  <c r="M255" i="1"/>
  <c r="N255" i="1" s="1"/>
  <c r="M337" i="1"/>
  <c r="N337" i="1" s="1"/>
  <c r="M291" i="1"/>
  <c r="N291" i="1" s="1"/>
  <c r="M27" i="1"/>
  <c r="N27" i="1" s="1"/>
  <c r="M20" i="1"/>
  <c r="N20" i="1" s="1"/>
  <c r="M42" i="1"/>
  <c r="N42" i="1" s="1"/>
  <c r="M28" i="1"/>
  <c r="N28" i="1" s="1"/>
  <c r="M105" i="1"/>
  <c r="N105" i="1" s="1"/>
  <c r="M251" i="1"/>
  <c r="N251" i="1" s="1"/>
  <c r="M211" i="1"/>
  <c r="N211" i="1" s="1"/>
  <c r="M117" i="1"/>
  <c r="N117" i="1" s="1"/>
  <c r="M33" i="1"/>
  <c r="N33" i="1" s="1"/>
  <c r="M145" i="1"/>
  <c r="N145" i="1" s="1"/>
  <c r="M61" i="1"/>
  <c r="N61" i="1" s="1"/>
  <c r="M16" i="1"/>
  <c r="N16" i="1" s="1"/>
  <c r="M160" i="1"/>
  <c r="N160" i="1" s="1"/>
  <c r="M250" i="1"/>
  <c r="N250" i="1" s="1"/>
  <c r="M347" i="1"/>
  <c r="N347" i="1" s="1"/>
  <c r="M244" i="1"/>
  <c r="N244" i="1" s="1"/>
  <c r="M405" i="1"/>
  <c r="N405" i="1" s="1"/>
  <c r="M375" i="1"/>
  <c r="N375" i="1" s="1"/>
  <c r="M137" i="1"/>
  <c r="N137" i="1" s="1"/>
  <c r="M218" i="1"/>
  <c r="N218" i="1" s="1"/>
  <c r="M402" i="1"/>
  <c r="N402" i="1" s="1"/>
  <c r="M93" i="1"/>
  <c r="N93" i="1" s="1"/>
  <c r="M307" i="1"/>
  <c r="N307" i="1" s="1"/>
  <c r="M294" i="1"/>
  <c r="N294" i="1" s="1"/>
  <c r="M177" i="1"/>
  <c r="N177" i="1" s="1"/>
  <c r="M135" i="1"/>
  <c r="N135" i="1" s="1"/>
  <c r="M74" i="1"/>
  <c r="N74" i="1" s="1"/>
  <c r="M336" i="1"/>
  <c r="N336" i="1" s="1"/>
  <c r="M90" i="1"/>
  <c r="N90" i="1" s="1"/>
  <c r="M17" i="1"/>
  <c r="N17" i="1" s="1"/>
  <c r="M155" i="1"/>
  <c r="N155" i="1" s="1"/>
  <c r="M67" i="1"/>
  <c r="N67" i="1" s="1"/>
  <c r="M271" i="1"/>
  <c r="N271" i="1" s="1"/>
  <c r="M240" i="1"/>
  <c r="N240" i="1" s="1"/>
  <c r="M139" i="1"/>
  <c r="N139" i="1" s="1"/>
  <c r="M315" i="1"/>
  <c r="N315" i="1" s="1"/>
  <c r="M303" i="1"/>
  <c r="N303" i="1" s="1"/>
  <c r="M273" i="1"/>
  <c r="N273" i="1" s="1"/>
  <c r="M367" i="1"/>
  <c r="N367" i="1" s="1"/>
  <c r="M427" i="1"/>
  <c r="N427" i="1" s="1"/>
  <c r="M348" i="1"/>
  <c r="N348" i="1" s="1"/>
  <c r="M366" i="1"/>
  <c r="N366" i="1" s="1"/>
  <c r="M219" i="1"/>
  <c r="N219" i="1" s="1"/>
  <c r="M415" i="1"/>
  <c r="N415" i="1" s="1"/>
  <c r="M397" i="1"/>
  <c r="N397" i="1" s="1"/>
  <c r="M344" i="1"/>
  <c r="N344" i="1" s="1"/>
  <c r="M416" i="1"/>
  <c r="N416" i="1" s="1"/>
  <c r="M414" i="1"/>
  <c r="N414" i="1" s="1"/>
  <c r="M107" i="1"/>
  <c r="N107" i="1" s="1"/>
  <c r="M79" i="1"/>
  <c r="N79" i="1" s="1"/>
  <c r="M195" i="1"/>
  <c r="N195" i="1" s="1"/>
  <c r="M106" i="1"/>
  <c r="N106" i="1" s="1"/>
  <c r="M34" i="1"/>
  <c r="N34" i="1" s="1"/>
  <c r="M156" i="1"/>
  <c r="N156" i="1" s="1"/>
  <c r="M213" i="1"/>
  <c r="N213" i="1" s="1"/>
  <c r="M98" i="1"/>
  <c r="N98" i="1" s="1"/>
  <c r="M346" i="1"/>
  <c r="N346" i="1" s="1"/>
  <c r="M205" i="1"/>
  <c r="N205" i="1" s="1"/>
  <c r="M169" i="1"/>
  <c r="N169" i="1" s="1"/>
  <c r="M189" i="1"/>
  <c r="N189" i="1" s="1"/>
  <c r="M237" i="1"/>
  <c r="N237" i="1" s="1"/>
  <c r="M210" i="1"/>
  <c r="N210" i="1" s="1"/>
  <c r="M83" i="1"/>
  <c r="N83" i="1" s="1"/>
  <c r="M364" i="1"/>
  <c r="N364" i="1" s="1"/>
  <c r="M263" i="1"/>
  <c r="N263" i="1" s="1"/>
  <c r="M201" i="1"/>
  <c r="N201" i="1" s="1"/>
  <c r="M260" i="1"/>
  <c r="N260" i="1" s="1"/>
  <c r="M324" i="1"/>
  <c r="N324" i="1" s="1"/>
  <c r="M276" i="1"/>
  <c r="N276" i="1" s="1"/>
  <c r="M178" i="1"/>
  <c r="N178" i="1" s="1"/>
  <c r="M371" i="1"/>
  <c r="N371" i="1" s="1"/>
  <c r="M341" i="1"/>
  <c r="N341" i="1" s="1"/>
  <c r="M242" i="1"/>
  <c r="N242" i="1" s="1"/>
  <c r="M214" i="1"/>
  <c r="N214" i="1" s="1"/>
  <c r="M50" i="1"/>
  <c r="N50" i="1" s="1"/>
  <c r="M39" i="1"/>
  <c r="N39" i="1" s="1"/>
  <c r="M246" i="1"/>
  <c r="N246" i="1" s="1"/>
  <c r="M123" i="1"/>
  <c r="N123" i="1" s="1"/>
  <c r="M184" i="1"/>
  <c r="N184" i="1" s="1"/>
  <c r="M161" i="1"/>
  <c r="N161" i="1" s="1"/>
  <c r="M140" i="1"/>
  <c r="N140" i="1" s="1"/>
  <c r="M82" i="1"/>
  <c r="N82" i="1" s="1"/>
  <c r="M216" i="1"/>
  <c r="N216" i="1" s="1"/>
  <c r="M279" i="1"/>
  <c r="N279" i="1" s="1"/>
  <c r="M247" i="1"/>
  <c r="N247" i="1" s="1"/>
  <c r="M289" i="1"/>
  <c r="N289" i="1" s="1"/>
  <c r="M173" i="1"/>
  <c r="N173" i="1" s="1"/>
  <c r="M103" i="1"/>
  <c r="N103" i="1" s="1"/>
  <c r="M378" i="1"/>
  <c r="N378" i="1" s="1"/>
  <c r="M265" i="1"/>
  <c r="N265" i="1" s="1"/>
  <c r="M144" i="1"/>
  <c r="N144" i="1" s="1"/>
  <c r="M388" i="1"/>
  <c r="N388" i="1" s="1"/>
  <c r="M224" i="1"/>
  <c r="N224" i="1" s="1"/>
  <c r="M386" i="1"/>
  <c r="N386" i="1" s="1"/>
  <c r="M373" i="1"/>
  <c r="N373" i="1" s="1"/>
  <c r="M374" i="1"/>
  <c r="N374" i="1" s="1"/>
  <c r="M149" i="1"/>
  <c r="N149" i="1" s="1"/>
  <c r="M215" i="1"/>
  <c r="N215" i="1" s="1"/>
  <c r="M92" i="1"/>
  <c r="N92" i="1" s="1"/>
  <c r="M100" i="1"/>
  <c r="N100" i="1" s="1"/>
  <c r="M126" i="1"/>
  <c r="N126" i="1" s="1"/>
  <c r="M187" i="1"/>
  <c r="N187" i="1" s="1"/>
  <c r="M316" i="1"/>
  <c r="N316" i="1" s="1"/>
  <c r="M116" i="1"/>
  <c r="N116" i="1" s="1"/>
  <c r="M86" i="1"/>
  <c r="N86" i="1" s="1"/>
  <c r="M268" i="1"/>
  <c r="N268" i="1" s="1"/>
  <c r="M241" i="1"/>
  <c r="N241" i="1" s="1"/>
  <c r="M277" i="1"/>
  <c r="N277" i="1" s="1"/>
  <c r="M319" i="1"/>
  <c r="N319" i="1" s="1"/>
  <c r="M306" i="1"/>
  <c r="N306" i="1" s="1"/>
  <c r="M287" i="1"/>
  <c r="N287" i="1" s="1"/>
  <c r="M252" i="1"/>
  <c r="N252" i="1" s="1"/>
  <c r="M154" i="1"/>
  <c r="N154" i="1" s="1"/>
  <c r="M248" i="1"/>
  <c r="N248" i="1" s="1"/>
  <c r="M207" i="1"/>
  <c r="N207" i="1" s="1"/>
  <c r="M278" i="1"/>
  <c r="N278" i="1" s="1"/>
  <c r="M228" i="1"/>
  <c r="N228" i="1" s="1"/>
  <c r="M167" i="1"/>
  <c r="N167" i="1" s="1"/>
  <c r="M142" i="1"/>
  <c r="N142" i="1" s="1"/>
  <c r="M281" i="1"/>
  <c r="N281" i="1" s="1"/>
  <c r="M394" i="1"/>
  <c r="N394" i="1" s="1"/>
  <c r="M288" i="1"/>
  <c r="N288" i="1" s="1"/>
  <c r="M226" i="1"/>
  <c r="N226" i="1" s="1"/>
  <c r="M191" i="1"/>
  <c r="N191" i="1" s="1"/>
  <c r="M102" i="1"/>
  <c r="N102" i="1" s="1"/>
  <c r="M249" i="1"/>
  <c r="N249" i="1" s="1"/>
  <c r="M166" i="1"/>
  <c r="N166" i="1" s="1"/>
  <c r="M296" i="1"/>
  <c r="N296" i="1" s="1"/>
  <c r="M168" i="1"/>
  <c r="N168" i="1" s="1"/>
  <c r="M236" i="1"/>
  <c r="N236" i="1" s="1"/>
  <c r="M94" i="1"/>
  <c r="N94" i="1" s="1"/>
  <c r="M114" i="1"/>
  <c r="N114" i="1" s="1"/>
  <c r="M115" i="1"/>
  <c r="N115" i="1" s="1"/>
  <c r="M130" i="1"/>
  <c r="N130" i="1" s="1"/>
  <c r="M282" i="1"/>
  <c r="N282" i="1" s="1"/>
  <c r="M333" i="1"/>
  <c r="N333" i="1" s="1"/>
  <c r="M147" i="1"/>
  <c r="N147" i="1" s="1"/>
  <c r="M365" i="1"/>
  <c r="N365" i="1" s="1"/>
  <c r="M48" i="1"/>
  <c r="N48" i="1" s="1"/>
  <c r="M57" i="1"/>
  <c r="N57" i="1" s="1"/>
  <c r="M59" i="1"/>
  <c r="N59" i="1" s="1"/>
  <c r="M97" i="1"/>
  <c r="N97" i="1" s="1"/>
  <c r="M231" i="1"/>
  <c r="N231" i="1" s="1"/>
  <c r="M163" i="1"/>
  <c r="N163" i="1" s="1"/>
  <c r="M284" i="1"/>
  <c r="N284" i="1" s="1"/>
  <c r="M353" i="1"/>
  <c r="N353" i="1" s="1"/>
  <c r="M272" i="1"/>
  <c r="N272" i="1" s="1"/>
  <c r="M304" i="1"/>
  <c r="N304" i="1" s="1"/>
  <c r="M403" i="1"/>
  <c r="N403" i="1" s="1"/>
  <c r="M221" i="1"/>
  <c r="N221" i="1" s="1"/>
  <c r="M125" i="1"/>
  <c r="N125" i="1" s="1"/>
  <c r="M202" i="1"/>
  <c r="N202" i="1" s="1"/>
  <c r="M270" i="1"/>
  <c r="N270" i="1" s="1"/>
  <c r="M360" i="1"/>
  <c r="N360" i="1" s="1"/>
  <c r="M390" i="1"/>
  <c r="N390" i="1" s="1"/>
  <c r="M297" i="1"/>
  <c r="N297" i="1" s="1"/>
  <c r="M409" i="1"/>
  <c r="N409" i="1" s="1"/>
  <c r="M197" i="1"/>
  <c r="N197" i="1" s="1"/>
  <c r="M104" i="1"/>
  <c r="N104" i="1" s="1"/>
  <c r="M188" i="1"/>
  <c r="N188" i="1" s="1"/>
  <c r="M421" i="1"/>
  <c r="N421" i="1" s="1"/>
  <c r="M379" i="1"/>
  <c r="N379" i="1" s="1"/>
  <c r="M266" i="1"/>
  <c r="N266" i="1" s="1"/>
  <c r="M293" i="1"/>
  <c r="N293" i="1" s="1"/>
  <c r="M396" i="1"/>
  <c r="N396" i="1" s="1"/>
  <c r="M185" i="1"/>
  <c r="N185" i="1" s="1"/>
  <c r="M381" i="1"/>
  <c r="N381" i="1" s="1"/>
  <c r="M182" i="1"/>
  <c r="N182" i="1" s="1"/>
  <c r="M387" i="1"/>
  <c r="N387" i="1" s="1"/>
  <c r="M393" i="1"/>
  <c r="N393" i="1" s="1"/>
  <c r="M376" i="1"/>
  <c r="N376" i="1" s="1"/>
  <c r="M310" i="1"/>
  <c r="N310" i="1" s="1"/>
  <c r="M400" i="1"/>
  <c r="N400" i="1" s="1"/>
  <c r="M256" i="1"/>
  <c r="N256" i="1" s="1"/>
  <c r="M430" i="1"/>
  <c r="N430" i="1" s="1"/>
  <c r="M380" i="1"/>
  <c r="N380" i="1" s="1"/>
  <c r="M411" i="1"/>
  <c r="N411" i="1" s="1"/>
  <c r="M424" i="1"/>
  <c r="N424" i="1" s="1"/>
  <c r="M399" i="1"/>
  <c r="N399" i="1" s="1"/>
  <c r="M370" i="1"/>
  <c r="N370" i="1" s="1"/>
  <c r="M24" i="1"/>
  <c r="N24" i="1" s="1"/>
  <c r="M230" i="1"/>
  <c r="N230" i="1" s="1"/>
  <c r="M73" i="1"/>
  <c r="N73" i="1" s="1"/>
  <c r="M290" i="1"/>
  <c r="N290" i="1" s="1"/>
  <c r="M72" i="1"/>
  <c r="N72" i="1" s="1"/>
  <c r="M40" i="1"/>
  <c r="N40" i="1" s="1"/>
  <c r="M352" i="1"/>
  <c r="N352" i="1" s="1"/>
  <c r="M227" i="1"/>
  <c r="N227" i="1" s="1"/>
  <c r="M351" i="1"/>
  <c r="N351" i="1" s="1"/>
  <c r="M49" i="1"/>
  <c r="N49" i="1" s="1"/>
  <c r="M186" i="1"/>
  <c r="N186" i="1" s="1"/>
  <c r="M66" i="1"/>
  <c r="N66" i="1" s="1"/>
  <c r="M175" i="1"/>
  <c r="N175" i="1" s="1"/>
  <c r="M47" i="1"/>
  <c r="N47" i="1" s="1"/>
  <c r="M229" i="1"/>
  <c r="N229" i="1" s="1"/>
  <c r="M76" i="1"/>
  <c r="N76" i="1" s="1"/>
  <c r="M70" i="1"/>
  <c r="N70" i="1" s="1"/>
  <c r="M41" i="1"/>
  <c r="N41" i="1" s="1"/>
  <c r="M89" i="1"/>
  <c r="N89" i="1" s="1"/>
  <c r="M190" i="1"/>
  <c r="N190" i="1" s="1"/>
  <c r="M43" i="1"/>
  <c r="N43" i="1" s="1"/>
  <c r="M122" i="1"/>
  <c r="N122" i="1" s="1"/>
  <c r="M146" i="1"/>
  <c r="N146" i="1" s="1"/>
  <c r="M172" i="1"/>
  <c r="N172" i="1" s="1"/>
  <c r="M109" i="1"/>
  <c r="N109" i="1" s="1"/>
  <c r="M30" i="1"/>
  <c r="N30" i="1" s="1"/>
  <c r="M29" i="1"/>
  <c r="N29" i="1" s="1"/>
  <c r="M55" i="1"/>
  <c r="N55" i="1" s="1"/>
  <c r="M15" i="1"/>
  <c r="N15" i="1" s="1"/>
  <c r="M10" i="1"/>
  <c r="N10" i="1" s="1"/>
  <c r="M25" i="1"/>
  <c r="N25" i="1" s="1"/>
  <c r="M22" i="1"/>
  <c r="N22" i="1" s="1"/>
  <c r="M54" i="1"/>
  <c r="N54" i="1" s="1"/>
  <c r="M19" i="1"/>
  <c r="N19" i="1" s="1"/>
  <c r="M21" i="1"/>
  <c r="N21" i="1" s="1"/>
  <c r="M36" i="1"/>
  <c r="N36" i="1" s="1"/>
  <c r="M332" i="1"/>
  <c r="N332" i="1" s="1"/>
  <c r="M428" i="1"/>
  <c r="N428" i="1" s="1"/>
  <c r="M433" i="1"/>
  <c r="N433" i="1" s="1"/>
  <c r="M317" i="1"/>
  <c r="N317" i="1" s="1"/>
  <c r="M426" i="1"/>
  <c r="N426" i="1" s="1"/>
  <c r="M164" i="1"/>
  <c r="N164" i="1" s="1"/>
  <c r="M359" i="1"/>
  <c r="N359" i="1" s="1"/>
  <c r="M358" i="1"/>
  <c r="N358" i="1" s="1"/>
  <c r="M295" i="1"/>
  <c r="N295" i="1" s="1"/>
  <c r="M429" i="1"/>
  <c r="N429" i="1" s="1"/>
  <c r="M412" i="1"/>
  <c r="N412" i="1" s="1"/>
  <c r="M257" i="1"/>
  <c r="N257" i="1" s="1"/>
  <c r="M23" i="1"/>
  <c r="N23" i="1" s="1"/>
  <c r="M158" i="1"/>
  <c r="N158" i="1" s="1"/>
  <c r="M71" i="1"/>
  <c r="N71" i="1" s="1"/>
  <c r="M26" i="1"/>
  <c r="N26" i="1" s="1"/>
  <c r="M193" i="1"/>
  <c r="N193" i="1" s="1"/>
  <c r="M18" i="1"/>
  <c r="N18" i="1" s="1"/>
  <c r="M6" i="1"/>
  <c r="N6" i="1" s="1"/>
  <c r="M4" i="1"/>
  <c r="N4" i="1" s="1"/>
  <c r="M2" i="1"/>
  <c r="N2" i="1" s="1"/>
  <c r="M12" i="1"/>
  <c r="N12" i="1" s="1"/>
  <c r="M8" i="1"/>
  <c r="N8" i="1" s="1"/>
  <c r="M5" i="1"/>
  <c r="N5" i="1" s="1"/>
  <c r="M331" i="1"/>
  <c r="N331" i="1" s="1"/>
  <c r="M425" i="1"/>
  <c r="N425" i="1" s="1"/>
  <c r="M269" i="1"/>
  <c r="N269" i="1" s="1"/>
  <c r="M302" i="1"/>
  <c r="N302" i="1" s="1"/>
  <c r="M220" i="1"/>
  <c r="N220" i="1" s="1"/>
  <c r="M406" i="1"/>
  <c r="N406" i="1" s="1"/>
  <c r="M235" i="1"/>
  <c r="N235" i="1" s="1"/>
  <c r="M275" i="1"/>
  <c r="N275" i="1" s="1"/>
  <c r="M234" i="1"/>
  <c r="N234" i="1" s="1"/>
  <c r="M342" i="1"/>
  <c r="N342" i="1" s="1"/>
  <c r="M355" i="1"/>
  <c r="N355" i="1" s="1"/>
  <c r="M413" i="1"/>
  <c r="N413" i="1" s="1"/>
  <c r="M431" i="1"/>
  <c r="N431" i="1" s="1"/>
  <c r="M392" i="1"/>
  <c r="N392" i="1" s="1"/>
  <c r="M343" i="1"/>
  <c r="N343" i="1" s="1"/>
  <c r="M357" i="1"/>
  <c r="N357" i="1" s="1"/>
  <c r="M432" i="1"/>
  <c r="N432" i="1" s="1"/>
  <c r="M340" i="1"/>
  <c r="N340" i="1" s="1"/>
  <c r="M356" i="1"/>
  <c r="N356" i="1" s="1"/>
  <c r="M418" i="1"/>
  <c r="N418" i="1" s="1"/>
  <c r="M372" i="1"/>
  <c r="N372" i="1" s="1"/>
  <c r="M254" i="1"/>
  <c r="N254" i="1" s="1"/>
  <c r="M423" i="1"/>
  <c r="N423" i="1" s="1"/>
  <c r="M410" i="1"/>
  <c r="N410" i="1" s="1"/>
  <c r="M7" i="1"/>
  <c r="N7" i="1" s="1"/>
  <c r="M46" i="1"/>
  <c r="N46" i="1" s="1"/>
  <c r="M77" i="1"/>
  <c r="N77" i="1" s="1"/>
  <c r="M35" i="1"/>
  <c r="N35" i="1" s="1"/>
  <c r="M75" i="1"/>
  <c r="N75" i="1" s="1"/>
  <c r="M3" i="1"/>
  <c r="N3" i="1" s="1"/>
  <c r="M13" i="1"/>
  <c r="N13" i="1" s="1"/>
  <c r="M99" i="1"/>
  <c r="N99" i="1" s="1"/>
  <c r="M53" i="1"/>
  <c r="N53" i="1" s="1"/>
  <c r="M69" i="1"/>
  <c r="N69" i="1" s="1"/>
  <c r="M64" i="1"/>
  <c r="N64" i="1" s="1"/>
  <c r="M85" i="1"/>
  <c r="N85" i="1" s="1"/>
  <c r="M14" i="1"/>
  <c r="N14" i="1" s="1"/>
  <c r="M37" i="1"/>
  <c r="N37" i="1" s="1"/>
  <c r="M78" i="1"/>
  <c r="N78" i="1" s="1"/>
  <c r="M157" i="1"/>
  <c r="N157" i="1" s="1"/>
  <c r="M44" i="1"/>
  <c r="N44" i="1" s="1"/>
  <c r="M134" i="1"/>
  <c r="N134" i="1" s="1"/>
  <c r="M68" i="1"/>
  <c r="N68" i="1" s="1"/>
  <c r="M87" i="1"/>
  <c r="N87" i="1" s="1"/>
  <c r="M88" i="1"/>
  <c r="N88" i="1" s="1"/>
  <c r="M9" i="1"/>
  <c r="N9" i="1" s="1"/>
  <c r="M119" i="1"/>
  <c r="N119" i="1" s="1"/>
  <c r="M174" i="1"/>
  <c r="N174" i="1" s="1"/>
  <c r="M148" i="1"/>
  <c r="N148" i="1" s="1"/>
  <c r="M101" i="1"/>
  <c r="N101" i="1" s="1"/>
  <c r="M225" i="1"/>
  <c r="N225" i="1" s="1"/>
  <c r="M362" i="1"/>
  <c r="N362" i="1" s="1"/>
  <c r="M217" i="1"/>
  <c r="N217" i="1" s="1"/>
  <c r="M312" i="1"/>
  <c r="N312" i="1" s="1"/>
  <c r="M259" i="1"/>
  <c r="N259" i="1" s="1"/>
  <c r="M159" i="1"/>
  <c r="N159" i="1" s="1"/>
  <c r="M326" i="1"/>
  <c r="N326" i="1" s="1"/>
  <c r="M95" i="1"/>
  <c r="N95" i="1" s="1"/>
  <c r="M395" i="1"/>
  <c r="N395" i="1" s="1"/>
  <c r="M136" i="1"/>
  <c r="N136" i="1" s="1"/>
</calcChain>
</file>

<file path=xl/sharedStrings.xml><?xml version="1.0" encoding="utf-8"?>
<sst xmlns="http://schemas.openxmlformats.org/spreadsheetml/2006/main" count="2621" uniqueCount="1200">
  <si>
    <t>calculator_id</t>
  </si>
  <si>
    <t>language</t>
  </si>
  <si>
    <t>keyword_primary</t>
  </si>
  <si>
    <t>keyword_variations</t>
  </si>
  <si>
    <t>search_volume_monthly</t>
  </si>
  <si>
    <t>keyword_difficulty</t>
  </si>
  <si>
    <t>competition</t>
  </si>
  <si>
    <t>cpc</t>
  </si>
  <si>
    <t>trend</t>
  </si>
  <si>
    <t>multiplier_commercial</t>
  </si>
  <si>
    <t>multiplier_trend</t>
  </si>
  <si>
    <t>multiplier_language</t>
  </si>
  <si>
    <t>opportunity_score</t>
  </si>
  <si>
    <t>priority_tier</t>
  </si>
  <si>
    <t>url</t>
  </si>
  <si>
    <t>age</t>
  </si>
  <si>
    <t>es</t>
  </si>
  <si>
    <t>calculadora de edad</t>
  </si>
  <si>
    <t>calcular edad</t>
  </si>
  <si>
    <t>stable</t>
  </si>
  <si>
    <t>/calculadoras/age</t>
  </si>
  <si>
    <t>en</t>
  </si>
  <si>
    <t>age calculator</t>
  </si>
  <si>
    <t>calculate age</t>
  </si>
  <si>
    <t>/en/calculators/age</t>
  </si>
  <si>
    <t>pt</t>
  </si>
  <si>
    <t>calculadora de idade</t>
  </si>
  <si>
    <t>calcular idade</t>
  </si>
  <si>
    <t>/pt/calculadoras/age</t>
  </si>
  <si>
    <t>fr</t>
  </si>
  <si>
    <t>calculateur d'âge</t>
  </si>
  <si>
    <t>calculer âge</t>
  </si>
  <si>
    <t>/fr/calculatrices/age</t>
  </si>
  <si>
    <t>hi</t>
  </si>
  <si>
    <t>/hi/calculators/age</t>
  </si>
  <si>
    <t>de</t>
  </si>
  <si>
    <t>altersrechner</t>
  </si>
  <si>
    <t>alter berechnen</t>
  </si>
  <si>
    <t>/de/rechner/age</t>
  </si>
  <si>
    <t>it</t>
  </si>
  <si>
    <t>calcolatore età</t>
  </si>
  <si>
    <t>calcolo età</t>
  </si>
  <si>
    <t>/it/calcolatrici/age</t>
  </si>
  <si>
    <t>pl</t>
  </si>
  <si>
    <t>kalkulator wieku</t>
  </si>
  <si>
    <t>oblicz wiek</t>
  </si>
  <si>
    <t>/pl/kalkulatory/age</t>
  </si>
  <si>
    <t>nl</t>
  </si>
  <si>
    <t>leeftijd calculator</t>
  </si>
  <si>
    <t>leeftijd berekenen</t>
  </si>
  <si>
    <t>/nl/calculators/age</t>
  </si>
  <si>
    <t>tr</t>
  </si>
  <si>
    <t>yaş hesaplama</t>
  </si>
  <si>
    <t>yaş hesapla</t>
  </si>
  <si>
    <t>/tr/hesap-makineleri/age</t>
  </si>
  <si>
    <t>sv</t>
  </si>
  <si>
    <t>ålderskalkylator</t>
  </si>
  <si>
    <t>beräkna ålder</t>
  </si>
  <si>
    <t>up</t>
  </si>
  <si>
    <t>/sv/kalkylatorer/age</t>
  </si>
  <si>
    <t>ru</t>
  </si>
  <si>
    <t>калькулятор возраста</t>
  </si>
  <si>
    <t>рассчитать возраст</t>
  </si>
  <si>
    <t>down</t>
  </si>
  <si>
    <t>/ru/калькуляторы/age</t>
  </si>
  <si>
    <t>army-body-fat</t>
  </si>
  <si>
    <t>calculadora army body fat</t>
  </si>
  <si>
    <t>calcular army body fat</t>
  </si>
  <si>
    <t>/calculadoras/army-body-fat</t>
  </si>
  <si>
    <t>army body fat calculator</t>
  </si>
  <si>
    <t>calculate army body fat</t>
  </si>
  <si>
    <t>/en/calculators/army-body-fat</t>
  </si>
  <si>
    <t>/pt/calculadoras/army-body-fat</t>
  </si>
  <si>
    <t>calculateur army body fat</t>
  </si>
  <si>
    <t>calculer army body fat</t>
  </si>
  <si>
    <t>/fr/calculatrices/army-body-fat</t>
  </si>
  <si>
    <t>/hi/calculators/army-body-fat</t>
  </si>
  <si>
    <t>army body fat rechner</t>
  </si>
  <si>
    <t>army body fat berechnen</t>
  </si>
  <si>
    <t>/de/rechner/army-body-fat</t>
  </si>
  <si>
    <t>calcolatore army body fat</t>
  </si>
  <si>
    <t>calcolo army body fat</t>
  </si>
  <si>
    <t>/it/calcolatrici/army-body-fat</t>
  </si>
  <si>
    <t>kalkulator army body fat</t>
  </si>
  <si>
    <t>oblicz army body fat</t>
  </si>
  <si>
    <t>/pl/kalkulatory/army-body-fat</t>
  </si>
  <si>
    <t>army body fat berekenen</t>
  </si>
  <si>
    <t>/nl/calculators/army-body-fat</t>
  </si>
  <si>
    <t>army body fat hesaplama</t>
  </si>
  <si>
    <t>army body fat hesapla</t>
  </si>
  <si>
    <t>/tr/hesap-makineleri/army-body-fat</t>
  </si>
  <si>
    <t>army body fat kalkylator</t>
  </si>
  <si>
    <t>beräkna army body fat</t>
  </si>
  <si>
    <t>/sv/kalkylatorer/army-body-fat</t>
  </si>
  <si>
    <t>калькулятор army body fat</t>
  </si>
  <si>
    <t>рассчитать army body fat</t>
  </si>
  <si>
    <t>/ru/калькуляторы/army-body-fat</t>
  </si>
  <si>
    <t>bac</t>
  </si>
  <si>
    <t>calculadora bac</t>
  </si>
  <si>
    <t>calcular bac</t>
  </si>
  <si>
    <t>/calculadoras/bac</t>
  </si>
  <si>
    <t>bac calculator</t>
  </si>
  <si>
    <t>calculate bac</t>
  </si>
  <si>
    <t>/en/calculators/bac</t>
  </si>
  <si>
    <t>/pt/calculadoras/bac</t>
  </si>
  <si>
    <t>calculateur bac</t>
  </si>
  <si>
    <t>calculer bac</t>
  </si>
  <si>
    <t>/fr/calculatrices/bac</t>
  </si>
  <si>
    <t>/hi/calculators/bac</t>
  </si>
  <si>
    <t>bac rechner</t>
  </si>
  <si>
    <t>bac berechnen</t>
  </si>
  <si>
    <t>/de/rechner/bac</t>
  </si>
  <si>
    <t>calcolatore bac</t>
  </si>
  <si>
    <t>calcolo bac</t>
  </si>
  <si>
    <t>/it/calcolatrici/bac</t>
  </si>
  <si>
    <t>kalkulator bac</t>
  </si>
  <si>
    <t>oblicz bac</t>
  </si>
  <si>
    <t>/pl/kalkulatory/bac</t>
  </si>
  <si>
    <t>bac berekenen</t>
  </si>
  <si>
    <t>/nl/calculators/bac</t>
  </si>
  <si>
    <t>bac hesaplama</t>
  </si>
  <si>
    <t>bac hesapla</t>
  </si>
  <si>
    <t>/tr/hesap-makineleri/bac</t>
  </si>
  <si>
    <t>bac kalkylator</t>
  </si>
  <si>
    <t>beräkna bac</t>
  </si>
  <si>
    <t>/sv/kalkylatorer/bac</t>
  </si>
  <si>
    <t>калькулятор bac</t>
  </si>
  <si>
    <t>рассчитать bac</t>
  </si>
  <si>
    <t>/ru/калькуляторы/bac</t>
  </si>
  <si>
    <t>bmi</t>
  </si>
  <si>
    <t>calculadora imc</t>
  </si>
  <si>
    <t>calculadora de imc | imc calculadora | calcular imc</t>
  </si>
  <si>
    <t>/calculadoras/bmi</t>
  </si>
  <si>
    <t>bmi calculator</t>
  </si>
  <si>
    <t>calculate bmi | bmi calc | body mass index calculator</t>
  </si>
  <si>
    <t>/en/calculators/bmi</t>
  </si>
  <si>
    <t>calculadora de imc | calcular imc | imc calculadora</t>
  </si>
  <si>
    <t>/pt/calculadoras/bmi</t>
  </si>
  <si>
    <t>calculateur imc</t>
  </si>
  <si>
    <t>calculateur d'imc | calcul imc | imc calculateur</t>
  </si>
  <si>
    <t>/fr/calculatrices/bmi</t>
  </si>
  <si>
    <t>calculate bmi | bmi calc | body mass index</t>
  </si>
  <si>
    <t>/hi/calculators/bmi</t>
  </si>
  <si>
    <t>bmi rechner</t>
  </si>
  <si>
    <t>bmi berechnen | bmi kalkulator</t>
  </si>
  <si>
    <t>/de/rechner/bmi</t>
  </si>
  <si>
    <t>calcolatore imc</t>
  </si>
  <si>
    <t>calcolo imc | imc calcolatore</t>
  </si>
  <si>
    <t>/it/calcolatrici/bmi</t>
  </si>
  <si>
    <t>kalkulator bmi</t>
  </si>
  <si>
    <t>oblicz bmi | kalkulator bmi online</t>
  </si>
  <si>
    <t>/pl/kalkulatory/bmi</t>
  </si>
  <si>
    <t>bmi berekenen | bmi calc</t>
  </si>
  <si>
    <t>/nl/calculators/bmi</t>
  </si>
  <si>
    <t>vki hesaplama</t>
  </si>
  <si>
    <t>vücut kitle indeksi | vki hesapla</t>
  </si>
  <si>
    <t>/tr/hesap-makineleri/bmi</t>
  </si>
  <si>
    <t>bmi kalkylator</t>
  </si>
  <si>
    <t>beräkna bmi | bmi räknare</t>
  </si>
  <si>
    <t>/sv/kalkylatorer/bmi</t>
  </si>
  <si>
    <t>калькулятор имт</t>
  </si>
  <si>
    <t>рассчитать имт | индекс массы тела</t>
  </si>
  <si>
    <t>/ru/калькуляторы/bmi</t>
  </si>
  <si>
    <t>bmr</t>
  </si>
  <si>
    <t>calculadora tmb</t>
  </si>
  <si>
    <t>calculadora de tmb | calcular tmb | tasa metabolica basal</t>
  </si>
  <si>
    <t>/calculadoras/bmr</t>
  </si>
  <si>
    <t>bmr calculator</t>
  </si>
  <si>
    <t>calculate bmr | basal metabolic rate calculator</t>
  </si>
  <si>
    <t>/en/calculators/bmr</t>
  </si>
  <si>
    <t>calculadora de tmb | calcular tmb</t>
  </si>
  <si>
    <t>/pt/calculadoras/bmr</t>
  </si>
  <si>
    <t>calculateur mb</t>
  </si>
  <si>
    <t>calculateur métabolisme de base | calcul mb</t>
  </si>
  <si>
    <t>/fr/calculatrices/bmr</t>
  </si>
  <si>
    <t>basal metabolic rate calculator | calculate bmr</t>
  </si>
  <si>
    <t>/hi/calculators/bmr</t>
  </si>
  <si>
    <t>grundumsatz rechner</t>
  </si>
  <si>
    <t>grundumsatz berechnen | bmr rechner</t>
  </si>
  <si>
    <t>/de/rechner/bmr</t>
  </si>
  <si>
    <t>calcolatore mb</t>
  </si>
  <si>
    <t>calcolo metabolismo basale | metabolismo basale</t>
  </si>
  <si>
    <t>/it/calcolatrici/bmr</t>
  </si>
  <si>
    <t>kalkulator ppm</t>
  </si>
  <si>
    <t>oblicz ppm | podstawowa przemiana materii</t>
  </si>
  <si>
    <t>/pl/kalkulatory/bmr</t>
  </si>
  <si>
    <t>basaal metabolisme berekenen | bmr berekenen</t>
  </si>
  <si>
    <t>/nl/calculators/bmr</t>
  </si>
  <si>
    <t>bmh hesaplama</t>
  </si>
  <si>
    <t>bazal metabolizma hızı hesaplama</t>
  </si>
  <si>
    <t>/tr/hesap-makineleri/bmr</t>
  </si>
  <si>
    <t>bmr kalkylator</t>
  </si>
  <si>
    <t>basalmetabolism kalkylator</t>
  </si>
  <si>
    <t>/sv/kalkylatorer/bmr</t>
  </si>
  <si>
    <t>калькулятор бмо</t>
  </si>
  <si>
    <t>базальный метаболизм калькулятор</t>
  </si>
  <si>
    <t>/ru/калькуляторы/bmr</t>
  </si>
  <si>
    <t>blood-type</t>
  </si>
  <si>
    <t>calculadora blood type</t>
  </si>
  <si>
    <t>calcular blood type</t>
  </si>
  <si>
    <t>/calculadoras/blood-type</t>
  </si>
  <si>
    <t>blood type calculator</t>
  </si>
  <si>
    <t>calculate blood type</t>
  </si>
  <si>
    <t>/en/calculators/blood-type</t>
  </si>
  <si>
    <t>/pt/calculadoras/blood-type</t>
  </si>
  <si>
    <t>calculateur blood type</t>
  </si>
  <si>
    <t>calculer blood type</t>
  </si>
  <si>
    <t>/fr/calculatrices/blood-type</t>
  </si>
  <si>
    <t>/hi/calculators/blood-type</t>
  </si>
  <si>
    <t>blood type rechner</t>
  </si>
  <si>
    <t>blood type berechnen</t>
  </si>
  <si>
    <t>/de/rechner/blood-type</t>
  </si>
  <si>
    <t>calcolatore blood type</t>
  </si>
  <si>
    <t>calcolo blood type</t>
  </si>
  <si>
    <t>/it/calcolatrici/blood-type</t>
  </si>
  <si>
    <t>kalkulator blood type</t>
  </si>
  <si>
    <t>oblicz blood type</t>
  </si>
  <si>
    <t>/pl/kalkulatory/blood-type</t>
  </si>
  <si>
    <t>blood type berekenen</t>
  </si>
  <si>
    <t>/nl/calculators/blood-type</t>
  </si>
  <si>
    <t>blood type hesaplama</t>
  </si>
  <si>
    <t>blood type hesapla</t>
  </si>
  <si>
    <t>/tr/hesap-makineleri/blood-type</t>
  </si>
  <si>
    <t>blood type kalkylator</t>
  </si>
  <si>
    <t>beräkna blood type</t>
  </si>
  <si>
    <t>/sv/kalkylatorer/blood-type</t>
  </si>
  <si>
    <t>калькулятор blood type</t>
  </si>
  <si>
    <t>рассчитать blood type</t>
  </si>
  <si>
    <t>/ru/калькуляторы/blood-type</t>
  </si>
  <si>
    <t>body-fat</t>
  </si>
  <si>
    <t>calculadora body fat</t>
  </si>
  <si>
    <t>calcular body fat</t>
  </si>
  <si>
    <t>/calculadoras/body-fat</t>
  </si>
  <si>
    <t>body fat calculator</t>
  </si>
  <si>
    <t>calculate body fat</t>
  </si>
  <si>
    <t>/en/calculators/body-fat</t>
  </si>
  <si>
    <t>/pt/calculadoras/body-fat</t>
  </si>
  <si>
    <t>calculateur body fat</t>
  </si>
  <si>
    <t>calculer body fat</t>
  </si>
  <si>
    <t>/fr/calculatrices/body-fat</t>
  </si>
  <si>
    <t>/hi/calculators/body-fat</t>
  </si>
  <si>
    <t>body fat rechner</t>
  </si>
  <si>
    <t>body fat berechnen</t>
  </si>
  <si>
    <t>/de/rechner/body-fat</t>
  </si>
  <si>
    <t>calcolatore body fat</t>
  </si>
  <si>
    <t>calcolo body fat</t>
  </si>
  <si>
    <t>/it/calcolatrici/body-fat</t>
  </si>
  <si>
    <t>kalkulator body fat</t>
  </si>
  <si>
    <t>oblicz body fat</t>
  </si>
  <si>
    <t>/pl/kalkulatory/body-fat</t>
  </si>
  <si>
    <t>body fat berekenen</t>
  </si>
  <si>
    <t>/nl/calculators/body-fat</t>
  </si>
  <si>
    <t>body fat hesaplama</t>
  </si>
  <si>
    <t>body fat hesapla</t>
  </si>
  <si>
    <t>/tr/hesap-makineleri/body-fat</t>
  </si>
  <si>
    <t>body fat kalkylator</t>
  </si>
  <si>
    <t>beräkna body fat</t>
  </si>
  <si>
    <t>/sv/kalkylatorer/body-fat</t>
  </si>
  <si>
    <t>калькулятор body fat</t>
  </si>
  <si>
    <t>рассчитать body fat</t>
  </si>
  <si>
    <t>/ru/калькуляторы/body-fat</t>
  </si>
  <si>
    <t>body-frame</t>
  </si>
  <si>
    <t>calculadora body frame</t>
  </si>
  <si>
    <t>calcular body frame</t>
  </si>
  <si>
    <t>/calculadoras/body-frame</t>
  </si>
  <si>
    <t>body frame calculator</t>
  </si>
  <si>
    <t>calculate body frame</t>
  </si>
  <si>
    <t>/en/calculators/body-frame</t>
  </si>
  <si>
    <t>/pt/calculadoras/body-frame</t>
  </si>
  <si>
    <t>calculateur body frame</t>
  </si>
  <si>
    <t>calculer body frame</t>
  </si>
  <si>
    <t>/fr/calculatrices/body-frame</t>
  </si>
  <si>
    <t>/hi/calculators/body-frame</t>
  </si>
  <si>
    <t>body frame rechner</t>
  </si>
  <si>
    <t>body frame berechnen</t>
  </si>
  <si>
    <t>/de/rechner/body-frame</t>
  </si>
  <si>
    <t>calcolatore body frame</t>
  </si>
  <si>
    <t>calcolo body frame</t>
  </si>
  <si>
    <t>/it/calcolatrici/body-frame</t>
  </si>
  <si>
    <t>kalkulator body frame</t>
  </si>
  <si>
    <t>oblicz body frame</t>
  </si>
  <si>
    <t>/pl/kalkulatory/body-frame</t>
  </si>
  <si>
    <t>body frame berekenen</t>
  </si>
  <si>
    <t>/nl/calculators/body-frame</t>
  </si>
  <si>
    <t>body frame hesaplama</t>
  </si>
  <si>
    <t>body frame hesapla</t>
  </si>
  <si>
    <t>/tr/hesap-makineleri/body-frame</t>
  </si>
  <si>
    <t>body frame kalkylator</t>
  </si>
  <si>
    <t>beräkna body frame</t>
  </si>
  <si>
    <t>/sv/kalkylatorer/body-frame</t>
  </si>
  <si>
    <t>калькулятор body frame</t>
  </si>
  <si>
    <t>рассчитать body frame</t>
  </si>
  <si>
    <t>/ru/калькуляторы/body-frame</t>
  </si>
  <si>
    <t>body-type</t>
  </si>
  <si>
    <t>calculadora body type</t>
  </si>
  <si>
    <t>calcular body type</t>
  </si>
  <si>
    <t>/calculadoras/body-type</t>
  </si>
  <si>
    <t>body type calculator</t>
  </si>
  <si>
    <t>calculate body type</t>
  </si>
  <si>
    <t>/en/calculators/body-type</t>
  </si>
  <si>
    <t>/pt/calculadoras/body-type</t>
  </si>
  <si>
    <t>calculateur body type</t>
  </si>
  <si>
    <t>calculer body type</t>
  </si>
  <si>
    <t>/fr/calculatrices/body-type</t>
  </si>
  <si>
    <t>/hi/calculators/body-type</t>
  </si>
  <si>
    <t>body type rechner</t>
  </si>
  <si>
    <t>body type berechnen</t>
  </si>
  <si>
    <t>/de/rechner/body-type</t>
  </si>
  <si>
    <t>calcolatore body type</t>
  </si>
  <si>
    <t>calcolo body type</t>
  </si>
  <si>
    <t>/it/calcolatrici/body-type</t>
  </si>
  <si>
    <t>kalkulator body type</t>
  </si>
  <si>
    <t>oblicz body type</t>
  </si>
  <si>
    <t>/pl/kalkulatory/body-type</t>
  </si>
  <si>
    <t>body type berekenen</t>
  </si>
  <si>
    <t>/nl/calculators/body-type</t>
  </si>
  <si>
    <t>body type hesaplama</t>
  </si>
  <si>
    <t>body type hesapla</t>
  </si>
  <si>
    <t>/tr/hesap-makineleri/body-type</t>
  </si>
  <si>
    <t>body type kalkylator</t>
  </si>
  <si>
    <t>beräkna body type</t>
  </si>
  <si>
    <t>/sv/kalkylatorer/body-type</t>
  </si>
  <si>
    <t>калькулятор body type</t>
  </si>
  <si>
    <t>рассчитать body type</t>
  </si>
  <si>
    <t>/ru/калькуляторы/body-type</t>
  </si>
  <si>
    <t>bsa</t>
  </si>
  <si>
    <t>calculadora bsa</t>
  </si>
  <si>
    <t>calcular bsa</t>
  </si>
  <si>
    <t>/calculadoras/bsa</t>
  </si>
  <si>
    <t>bsa calculator</t>
  </si>
  <si>
    <t>calculate bsa</t>
  </si>
  <si>
    <t>/en/calculators/bsa</t>
  </si>
  <si>
    <t>/pt/calculadoras/bsa</t>
  </si>
  <si>
    <t>calculateur bsa</t>
  </si>
  <si>
    <t>calculer bsa</t>
  </si>
  <si>
    <t>/fr/calculatrices/bsa</t>
  </si>
  <si>
    <t>/hi/calculators/bsa</t>
  </si>
  <si>
    <t>bsa rechner</t>
  </si>
  <si>
    <t>bsa berechnen</t>
  </si>
  <si>
    <t>/de/rechner/bsa</t>
  </si>
  <si>
    <t>calcolatore bsa</t>
  </si>
  <si>
    <t>calcolo bsa</t>
  </si>
  <si>
    <t>/it/calcolatrici/bsa</t>
  </si>
  <si>
    <t>kalkulator bsa</t>
  </si>
  <si>
    <t>oblicz bsa</t>
  </si>
  <si>
    <t>/pl/kalkulatory/bsa</t>
  </si>
  <si>
    <t>bsa berekenen</t>
  </si>
  <si>
    <t>/nl/calculators/bsa</t>
  </si>
  <si>
    <t>bsa hesaplama</t>
  </si>
  <si>
    <t>bsa hesapla</t>
  </si>
  <si>
    <t>/tr/hesap-makineleri/bsa</t>
  </si>
  <si>
    <t>bsa kalkylator</t>
  </si>
  <si>
    <t>beräkna bsa</t>
  </si>
  <si>
    <t>/sv/kalkylatorer/bsa</t>
  </si>
  <si>
    <t>калькулятор bsa</t>
  </si>
  <si>
    <t>рассчитать bsa</t>
  </si>
  <si>
    <t>/ru/калькуляторы/bsa</t>
  </si>
  <si>
    <t>calorie</t>
  </si>
  <si>
    <t>calculadora de calorias</t>
  </si>
  <si>
    <t>calculadora calorias | calcular calorias diarias</t>
  </si>
  <si>
    <t>/calculadoras/calorie</t>
  </si>
  <si>
    <t>calorie calculator</t>
  </si>
  <si>
    <t>daily calorie calculator | calories needed</t>
  </si>
  <si>
    <t>/en/calculators/calorie</t>
  </si>
  <si>
    <t>calcular calorias | calculadora calorias diarias</t>
  </si>
  <si>
    <t>/pt/calculadoras/calorie</t>
  </si>
  <si>
    <t>calculateur de calories</t>
  </si>
  <si>
    <t>calculateur calories | calcul calories journalières</t>
  </si>
  <si>
    <t>/fr/calculatrices/calorie</t>
  </si>
  <si>
    <t>daily calorie calculator | calories needed per day</t>
  </si>
  <si>
    <t>/hi/calculators/calorie</t>
  </si>
  <si>
    <t>kalorienrechner</t>
  </si>
  <si>
    <t>kalorien berechnen | täglicher kalorienbedarf</t>
  </si>
  <si>
    <t>/de/rechner/calorie</t>
  </si>
  <si>
    <t>calcolatore calorie</t>
  </si>
  <si>
    <t>calcolo calorie | calorie giornaliere</t>
  </si>
  <si>
    <t>/it/calcolatrici/calorie</t>
  </si>
  <si>
    <t>kalkulator kalorii</t>
  </si>
  <si>
    <t>oblicz kalorie | dzienna kalorie</t>
  </si>
  <si>
    <t>/pl/kalkulatory/calorie</t>
  </si>
  <si>
    <t>calorieën berekenen | dagelijkse calorieën</t>
  </si>
  <si>
    <t>/nl/calculators/calorie</t>
  </si>
  <si>
    <t>kalori hesaplama</t>
  </si>
  <si>
    <t>günlük kalori hesaplama | kalori hesapla</t>
  </si>
  <si>
    <t>/tr/hesap-makineleri/calorie</t>
  </si>
  <si>
    <t>kalorikalkylator</t>
  </si>
  <si>
    <t>beräkna kalorier | dagligt kaloriintag</t>
  </si>
  <si>
    <t>/sv/kalkylatorer/calorie</t>
  </si>
  <si>
    <t>калькулятор калорий</t>
  </si>
  <si>
    <t>рассчитать калории | суточная норма</t>
  </si>
  <si>
    <t>/ru/калькуляторы/calorie</t>
  </si>
  <si>
    <t>calories-burned</t>
  </si>
  <si>
    <t>calculadora calories burned</t>
  </si>
  <si>
    <t>calcular calories burned</t>
  </si>
  <si>
    <t>/calculadoras/calories-burned</t>
  </si>
  <si>
    <t>calories burned calculator</t>
  </si>
  <si>
    <t>calculate calories burned</t>
  </si>
  <si>
    <t>/en/calculators/calories-burned</t>
  </si>
  <si>
    <t>/pt/calculadoras/calories-burned</t>
  </si>
  <si>
    <t>calculateur calories burned</t>
  </si>
  <si>
    <t>calculer calories burned</t>
  </si>
  <si>
    <t>/fr/calculatrices/calories-burned</t>
  </si>
  <si>
    <t>/hi/calculators/calories-burned</t>
  </si>
  <si>
    <t>calories burned rechner</t>
  </si>
  <si>
    <t>calories burned berechnen</t>
  </si>
  <si>
    <t>/de/rechner/calories-burned</t>
  </si>
  <si>
    <t>calcolatore calories burned</t>
  </si>
  <si>
    <t>calcolo calories burned</t>
  </si>
  <si>
    <t>/it/calcolatrici/calories-burned</t>
  </si>
  <si>
    <t>kalkulator calories burned</t>
  </si>
  <si>
    <t>oblicz calories burned</t>
  </si>
  <si>
    <t>/pl/kalkulatory/calories-burned</t>
  </si>
  <si>
    <t>calories burned berekenen</t>
  </si>
  <si>
    <t>/nl/calculators/calories-burned</t>
  </si>
  <si>
    <t>calories burned hesaplama</t>
  </si>
  <si>
    <t>calories burned hesapla</t>
  </si>
  <si>
    <t>/tr/hesap-makineleri/calories-burned</t>
  </si>
  <si>
    <t>calories burned kalkylator</t>
  </si>
  <si>
    <t>beräkna calories burned</t>
  </si>
  <si>
    <t>/sv/kalkylatorer/calories-burned</t>
  </si>
  <si>
    <t>калькулятор calories burned</t>
  </si>
  <si>
    <t>рассчитать calories burned</t>
  </si>
  <si>
    <t>/ru/калькуляторы/calories-burned</t>
  </si>
  <si>
    <t>carbohydrate</t>
  </si>
  <si>
    <t>calculadora carbohydrate</t>
  </si>
  <si>
    <t>calcular carbohydrate</t>
  </si>
  <si>
    <t>/calculadoras/carbohydrate</t>
  </si>
  <si>
    <t>carbohydrate calculator</t>
  </si>
  <si>
    <t>calculate carbohydrate</t>
  </si>
  <si>
    <t>/en/calculators/carbohydrate</t>
  </si>
  <si>
    <t>/pt/calculadoras/carbohydrate</t>
  </si>
  <si>
    <t>calculateur carbohydrate</t>
  </si>
  <si>
    <t>calculer carbohydrate</t>
  </si>
  <si>
    <t>/fr/calculatrices/carbohydrate</t>
  </si>
  <si>
    <t>/hi/calculators/carbohydrate</t>
  </si>
  <si>
    <t>carbohydrate rechner</t>
  </si>
  <si>
    <t>carbohydrate berechnen</t>
  </si>
  <si>
    <t>/de/rechner/carbohydrate</t>
  </si>
  <si>
    <t>calcolatore carbohydrate</t>
  </si>
  <si>
    <t>calcolo carbohydrate</t>
  </si>
  <si>
    <t>/it/calcolatrici/carbohydrate</t>
  </si>
  <si>
    <t>kalkulator carbohydrate</t>
  </si>
  <si>
    <t>oblicz carbohydrate</t>
  </si>
  <si>
    <t>/pl/kalkulatory/carbohydrate</t>
  </si>
  <si>
    <t>carbohydrate berekenen</t>
  </si>
  <si>
    <t>/nl/calculators/carbohydrate</t>
  </si>
  <si>
    <t>carbohydrate hesaplama</t>
  </si>
  <si>
    <t>carbohydrate hesapla</t>
  </si>
  <si>
    <t>/tr/hesap-makineleri/carbohydrate</t>
  </si>
  <si>
    <t>carbohydrate kalkylator</t>
  </si>
  <si>
    <t>beräkna carbohydrate</t>
  </si>
  <si>
    <t>/sv/kalkylatorer/carbohydrate</t>
  </si>
  <si>
    <t>калькулятор carbohydrate</t>
  </si>
  <si>
    <t>рассчитать carbohydrate</t>
  </si>
  <si>
    <t>/ru/калькуляторы/carbohydrate</t>
  </si>
  <si>
    <t>date</t>
  </si>
  <si>
    <t>calculadora date</t>
  </si>
  <si>
    <t>calcular date</t>
  </si>
  <si>
    <t>/calculadoras/date</t>
  </si>
  <si>
    <t>date calculator</t>
  </si>
  <si>
    <t>calculate date</t>
  </si>
  <si>
    <t>/en/calculators/date</t>
  </si>
  <si>
    <t>/pt/calculadoras/date</t>
  </si>
  <si>
    <t>calculateur date</t>
  </si>
  <si>
    <t>calculer date</t>
  </si>
  <si>
    <t>/fr/calculatrices/date</t>
  </si>
  <si>
    <t>/hi/calculators/date</t>
  </si>
  <si>
    <t>date rechner</t>
  </si>
  <si>
    <t>date berechnen</t>
  </si>
  <si>
    <t>/de/rechner/date</t>
  </si>
  <si>
    <t>calcolatore date</t>
  </si>
  <si>
    <t>calcolo date</t>
  </si>
  <si>
    <t>/it/calcolatrici/date</t>
  </si>
  <si>
    <t>kalkulator date</t>
  </si>
  <si>
    <t>oblicz date</t>
  </si>
  <si>
    <t>/pl/kalkulatory/date</t>
  </si>
  <si>
    <t>date berekenen</t>
  </si>
  <si>
    <t>/nl/calculators/date</t>
  </si>
  <si>
    <t>date hesaplama</t>
  </si>
  <si>
    <t>date hesapla</t>
  </si>
  <si>
    <t>/tr/hesap-makineleri/date</t>
  </si>
  <si>
    <t>date kalkylator</t>
  </si>
  <si>
    <t>beräkna date</t>
  </si>
  <si>
    <t>/sv/kalkylatorer/date</t>
  </si>
  <si>
    <t>калькулятор date</t>
  </si>
  <si>
    <t>рассчитать date</t>
  </si>
  <si>
    <t>/ru/калькуляторы/date</t>
  </si>
  <si>
    <t>due-date</t>
  </si>
  <si>
    <t>calculadora due date</t>
  </si>
  <si>
    <t>calcular due date</t>
  </si>
  <si>
    <t>/calculadoras/due-date</t>
  </si>
  <si>
    <t>due date calculator</t>
  </si>
  <si>
    <t>calculate due date</t>
  </si>
  <si>
    <t>/en/calculators/due-date</t>
  </si>
  <si>
    <t>/pt/calculadoras/due-date</t>
  </si>
  <si>
    <t>calculateur due date</t>
  </si>
  <si>
    <t>calculer due date</t>
  </si>
  <si>
    <t>/fr/calculatrices/due-date</t>
  </si>
  <si>
    <t>/hi/calculators/due-date</t>
  </si>
  <si>
    <t>due date rechner</t>
  </si>
  <si>
    <t>due date berechnen</t>
  </si>
  <si>
    <t>/de/rechner/due-date</t>
  </si>
  <si>
    <t>calcolatore due date</t>
  </si>
  <si>
    <t>calcolo due date</t>
  </si>
  <si>
    <t>/it/calcolatrici/due-date</t>
  </si>
  <si>
    <t>kalkulator due date</t>
  </si>
  <si>
    <t>oblicz due date</t>
  </si>
  <si>
    <t>/pl/kalkulatory/due-date</t>
  </si>
  <si>
    <t>due date berekenen</t>
  </si>
  <si>
    <t>/nl/calculators/due-date</t>
  </si>
  <si>
    <t>due date hesaplama</t>
  </si>
  <si>
    <t>due date hesapla</t>
  </si>
  <si>
    <t>/tr/hesap-makineleri/due-date</t>
  </si>
  <si>
    <t>due date kalkylator</t>
  </si>
  <si>
    <t>beräkna due date</t>
  </si>
  <si>
    <t>/sv/kalkylatorer/due-date</t>
  </si>
  <si>
    <t>калькулятор due date</t>
  </si>
  <si>
    <t>рассчитать due date</t>
  </si>
  <si>
    <t>/ru/калькуляторы/due-date</t>
  </si>
  <si>
    <t>fat-intake</t>
  </si>
  <si>
    <t>calculadora fat intake</t>
  </si>
  <si>
    <t>calcular fat intake</t>
  </si>
  <si>
    <t>/calculadoras/fat-intake</t>
  </si>
  <si>
    <t>fat intake calculator</t>
  </si>
  <si>
    <t>calculate fat intake</t>
  </si>
  <si>
    <t>/en/calculators/fat-intake</t>
  </si>
  <si>
    <t>/pt/calculadoras/fat-intake</t>
  </si>
  <si>
    <t>calculateur fat intake</t>
  </si>
  <si>
    <t>calculer fat intake</t>
  </si>
  <si>
    <t>/fr/calculatrices/fat-intake</t>
  </si>
  <si>
    <t>/hi/calculators/fat-intake</t>
  </si>
  <si>
    <t>fat intake rechner</t>
  </si>
  <si>
    <t>fat intake berechnen</t>
  </si>
  <si>
    <t>/de/rechner/fat-intake</t>
  </si>
  <si>
    <t>calcolatore fat intake</t>
  </si>
  <si>
    <t>calcolo fat intake</t>
  </si>
  <si>
    <t>/it/calcolatrici/fat-intake</t>
  </si>
  <si>
    <t>kalkulator fat intake</t>
  </si>
  <si>
    <t>oblicz fat intake</t>
  </si>
  <si>
    <t>/pl/kalkulatory/fat-intake</t>
  </si>
  <si>
    <t>fat intake berekenen</t>
  </si>
  <si>
    <t>/nl/calculators/fat-intake</t>
  </si>
  <si>
    <t>fat intake hesaplama</t>
  </si>
  <si>
    <t>fat intake hesapla</t>
  </si>
  <si>
    <t>/tr/hesap-makineleri/fat-intake</t>
  </si>
  <si>
    <t>fat intake kalkylator</t>
  </si>
  <si>
    <t>beräkna fat intake</t>
  </si>
  <si>
    <t>/sv/kalkylatorer/fat-intake</t>
  </si>
  <si>
    <t>калькулятор fat intake</t>
  </si>
  <si>
    <t>рассчитать fat intake</t>
  </si>
  <si>
    <t>/ru/калькуляторы/fat-intake</t>
  </si>
  <si>
    <t>gfr</t>
  </si>
  <si>
    <t>calculadora gfr</t>
  </si>
  <si>
    <t>calcular gfr</t>
  </si>
  <si>
    <t>/calculadoras/gfr</t>
  </si>
  <si>
    <t>gfr calculator</t>
  </si>
  <si>
    <t>calculate gfr</t>
  </si>
  <si>
    <t>/en/calculators/gfr</t>
  </si>
  <si>
    <t>/pt/calculadoras/gfr</t>
  </si>
  <si>
    <t>calculateur gfr</t>
  </si>
  <si>
    <t>calculer gfr</t>
  </si>
  <si>
    <t>/fr/calculatrices/gfr</t>
  </si>
  <si>
    <t>/hi/calculators/gfr</t>
  </si>
  <si>
    <t>gfr rechner</t>
  </si>
  <si>
    <t>gfr berechnen</t>
  </si>
  <si>
    <t>/de/rechner/gfr</t>
  </si>
  <si>
    <t>calcolatore gfr</t>
  </si>
  <si>
    <t>calcolo gfr</t>
  </si>
  <si>
    <t>/it/calcolatrici/gfr</t>
  </si>
  <si>
    <t>kalkulator gfr</t>
  </si>
  <si>
    <t>oblicz gfr</t>
  </si>
  <si>
    <t>/pl/kalkulatory/gfr</t>
  </si>
  <si>
    <t>gfr berekenen</t>
  </si>
  <si>
    <t>/nl/calculators/gfr</t>
  </si>
  <si>
    <t>gfr hesaplama</t>
  </si>
  <si>
    <t>gfr hesapla</t>
  </si>
  <si>
    <t>/tr/hesap-makineleri/gfr</t>
  </si>
  <si>
    <t>gfr kalkylator</t>
  </si>
  <si>
    <t>beräkna gfr</t>
  </si>
  <si>
    <t>/sv/kalkylatorer/gfr</t>
  </si>
  <si>
    <t>калькулятор gfr</t>
  </si>
  <si>
    <t>рассчитать gfr</t>
  </si>
  <si>
    <t>/ru/калькуляторы/gfr</t>
  </si>
  <si>
    <t>healthy-weight</t>
  </si>
  <si>
    <t>calculadora healthy weight</t>
  </si>
  <si>
    <t>calcular healthy weight</t>
  </si>
  <si>
    <t>/calculadoras/healthy-weight</t>
  </si>
  <si>
    <t>healthy weight calculator</t>
  </si>
  <si>
    <t>calculate healthy weight</t>
  </si>
  <si>
    <t>/en/calculators/healthy-weight</t>
  </si>
  <si>
    <t>/pt/calculadoras/healthy-weight</t>
  </si>
  <si>
    <t>calculateur healthy weight</t>
  </si>
  <si>
    <t>calculer healthy weight</t>
  </si>
  <si>
    <t>/fr/calculatrices/healthy-weight</t>
  </si>
  <si>
    <t>/hi/calculators/healthy-weight</t>
  </si>
  <si>
    <t>healthy weight rechner</t>
  </si>
  <si>
    <t>healthy weight berechnen</t>
  </si>
  <si>
    <t>/de/rechner/healthy-weight</t>
  </si>
  <si>
    <t>calcolatore healthy weight</t>
  </si>
  <si>
    <t>calcolo healthy weight</t>
  </si>
  <si>
    <t>/it/calcolatrici/healthy-weight</t>
  </si>
  <si>
    <t>kalkulator healthy weight</t>
  </si>
  <si>
    <t>oblicz healthy weight</t>
  </si>
  <si>
    <t>/pl/kalkulatory/healthy-weight</t>
  </si>
  <si>
    <t>healthy weight berekenen</t>
  </si>
  <si>
    <t>/nl/calculators/healthy-weight</t>
  </si>
  <si>
    <t>healthy weight hesaplama</t>
  </si>
  <si>
    <t>healthy weight hesapla</t>
  </si>
  <si>
    <t>/tr/hesap-makineleri/healthy-weight</t>
  </si>
  <si>
    <t>healthy weight kalkylator</t>
  </si>
  <si>
    <t>beräkna healthy weight</t>
  </si>
  <si>
    <t>/sv/kalkylatorer/healthy-weight</t>
  </si>
  <si>
    <t>калькулятор healthy weight</t>
  </si>
  <si>
    <t>рассчитать healthy weight</t>
  </si>
  <si>
    <t>/ru/калькуляторы/healthy-weight</t>
  </si>
  <si>
    <t>heart-rate</t>
  </si>
  <si>
    <t>calculadora heart rate</t>
  </si>
  <si>
    <t>calcular heart rate</t>
  </si>
  <si>
    <t>/calculadoras/heart-rate</t>
  </si>
  <si>
    <t>heart rate calculator</t>
  </si>
  <si>
    <t>calculate heart rate</t>
  </si>
  <si>
    <t>/en/calculators/heart-rate</t>
  </si>
  <si>
    <t>/pt/calculadoras/heart-rate</t>
  </si>
  <si>
    <t>calculateur heart rate</t>
  </si>
  <si>
    <t>calculer heart rate</t>
  </si>
  <si>
    <t>/fr/calculatrices/heart-rate</t>
  </si>
  <si>
    <t>/hi/calculators/heart-rate</t>
  </si>
  <si>
    <t>heart rate rechner</t>
  </si>
  <si>
    <t>heart rate berechnen</t>
  </si>
  <si>
    <t>/de/rechner/heart-rate</t>
  </si>
  <si>
    <t>calcolatore heart rate</t>
  </si>
  <si>
    <t>calcolo heart rate</t>
  </si>
  <si>
    <t>/it/calcolatrici/heart-rate</t>
  </si>
  <si>
    <t>kalkulator heart rate</t>
  </si>
  <si>
    <t>oblicz heart rate</t>
  </si>
  <si>
    <t>/pl/kalkulatory/heart-rate</t>
  </si>
  <si>
    <t>heart rate berekenen</t>
  </si>
  <si>
    <t>/nl/calculators/heart-rate</t>
  </si>
  <si>
    <t>heart rate hesaplama</t>
  </si>
  <si>
    <t>heart rate hesapla</t>
  </si>
  <si>
    <t>/tr/hesap-makineleri/heart-rate</t>
  </si>
  <si>
    <t>heart rate kalkylator</t>
  </si>
  <si>
    <t>beräkna heart rate</t>
  </si>
  <si>
    <t>/sv/kalkylatorer/heart-rate</t>
  </si>
  <si>
    <t>калькулятор heart rate</t>
  </si>
  <si>
    <t>рассчитать heart rate</t>
  </si>
  <si>
    <t>/ru/калькуляторы/heart-rate</t>
  </si>
  <si>
    <t>ideal-weight</t>
  </si>
  <si>
    <t>calculadora ideal weight</t>
  </si>
  <si>
    <t>calcular ideal weight</t>
  </si>
  <si>
    <t>/calculadoras/ideal-weight</t>
  </si>
  <si>
    <t>ideal weight calculator</t>
  </si>
  <si>
    <t>calculate ideal weight</t>
  </si>
  <si>
    <t>/en/calculators/ideal-weight</t>
  </si>
  <si>
    <t>/pt/calculadoras/ideal-weight</t>
  </si>
  <si>
    <t>calculateur ideal weight</t>
  </si>
  <si>
    <t>calculer ideal weight</t>
  </si>
  <si>
    <t>/fr/calculatrices/ideal-weight</t>
  </si>
  <si>
    <t>/hi/calculators/ideal-weight</t>
  </si>
  <si>
    <t>ideal weight rechner</t>
  </si>
  <si>
    <t>ideal weight berechnen</t>
  </si>
  <si>
    <t>/de/rechner/ideal-weight</t>
  </si>
  <si>
    <t>calcolatore ideal weight</t>
  </si>
  <si>
    <t>calcolo ideal weight</t>
  </si>
  <si>
    <t>/it/calcolatrici/ideal-weight</t>
  </si>
  <si>
    <t>kalkulator ideal weight</t>
  </si>
  <si>
    <t>oblicz ideal weight</t>
  </si>
  <si>
    <t>/pl/kalkulatory/ideal-weight</t>
  </si>
  <si>
    <t>ideal weight berekenen</t>
  </si>
  <si>
    <t>/nl/calculators/ideal-weight</t>
  </si>
  <si>
    <t>ideal weight hesaplama</t>
  </si>
  <si>
    <t>ideal weight hesapla</t>
  </si>
  <si>
    <t>/tr/hesap-makineleri/ideal-weight</t>
  </si>
  <si>
    <t>ideal weight kalkylator</t>
  </si>
  <si>
    <t>beräkna ideal weight</t>
  </si>
  <si>
    <t>/sv/kalkylatorer/ideal-weight</t>
  </si>
  <si>
    <t>калькулятор ideal weight</t>
  </si>
  <si>
    <t>рассчитать ideal weight</t>
  </si>
  <si>
    <t>/ru/калькуляторы/ideal-weight</t>
  </si>
  <si>
    <t>lean-body-mass</t>
  </si>
  <si>
    <t>calculadora lean body mass</t>
  </si>
  <si>
    <t>calcular lean body mass</t>
  </si>
  <si>
    <t>/calculadoras/lean-body-mass</t>
  </si>
  <si>
    <t>lean body mass calculator</t>
  </si>
  <si>
    <t>calculate lean body mass</t>
  </si>
  <si>
    <t>/en/calculators/lean-body-mass</t>
  </si>
  <si>
    <t>/pt/calculadoras/lean-body-mass</t>
  </si>
  <si>
    <t>calculateur lean body mass</t>
  </si>
  <si>
    <t>calculer lean body mass</t>
  </si>
  <si>
    <t>/fr/calculatrices/lean-body-mass</t>
  </si>
  <si>
    <t>/hi/calculators/lean-body-mass</t>
  </si>
  <si>
    <t>lean body mass rechner</t>
  </si>
  <si>
    <t>lean body mass berechnen</t>
  </si>
  <si>
    <t>/de/rechner/lean-body-mass</t>
  </si>
  <si>
    <t>calcolatore lean body mass</t>
  </si>
  <si>
    <t>calcolo lean body mass</t>
  </si>
  <si>
    <t>/it/calcolatrici/lean-body-mass</t>
  </si>
  <si>
    <t>kalkulator lean body mass</t>
  </si>
  <si>
    <t>oblicz lean body mass</t>
  </si>
  <si>
    <t>/pl/kalkulatory/lean-body-mass</t>
  </si>
  <si>
    <t>lean body mass berekenen</t>
  </si>
  <si>
    <t>/nl/calculators/lean-body-mass</t>
  </si>
  <si>
    <t>lean body mass hesaplama</t>
  </si>
  <si>
    <t>lean body mass hesapla</t>
  </si>
  <si>
    <t>/tr/hesap-makineleri/lean-body-mass</t>
  </si>
  <si>
    <t>lean body mass kalkylator</t>
  </si>
  <si>
    <t>beräkna lean body mass</t>
  </si>
  <si>
    <t>/sv/kalkylatorer/lean-body-mass</t>
  </si>
  <si>
    <t>калькулятор lean body mass</t>
  </si>
  <si>
    <t>рассчитать lean body mass</t>
  </si>
  <si>
    <t>/ru/калькуляторы/lean-body-mass</t>
  </si>
  <si>
    <t>macro</t>
  </si>
  <si>
    <t>calculadora macro</t>
  </si>
  <si>
    <t>calcular macro</t>
  </si>
  <si>
    <t>/calculadoras/macro</t>
  </si>
  <si>
    <t>macro calculator</t>
  </si>
  <si>
    <t>calculate macro</t>
  </si>
  <si>
    <t>/en/calculators/macro</t>
  </si>
  <si>
    <t>/pt/calculadoras/macro</t>
  </si>
  <si>
    <t>calculateur macro</t>
  </si>
  <si>
    <t>calculer macro</t>
  </si>
  <si>
    <t>/fr/calculatrices/macro</t>
  </si>
  <si>
    <t>/hi/calculators/macro</t>
  </si>
  <si>
    <t>macro rechner</t>
  </si>
  <si>
    <t>macro berechnen</t>
  </si>
  <si>
    <t>/de/rechner/macro</t>
  </si>
  <si>
    <t>calcolatore macro</t>
  </si>
  <si>
    <t>calcolo macro</t>
  </si>
  <si>
    <t>/it/calcolatrici/macro</t>
  </si>
  <si>
    <t>kalkulator macro</t>
  </si>
  <si>
    <t>oblicz macro</t>
  </si>
  <si>
    <t>/pl/kalkulatory/macro</t>
  </si>
  <si>
    <t>macro berekenen</t>
  </si>
  <si>
    <t>/nl/calculators/macro</t>
  </si>
  <si>
    <t>macro hesaplama</t>
  </si>
  <si>
    <t>macro hesapla</t>
  </si>
  <si>
    <t>/tr/hesap-makineleri/macro</t>
  </si>
  <si>
    <t>macro kalkylator</t>
  </si>
  <si>
    <t>beräkna macro</t>
  </si>
  <si>
    <t>/sv/kalkylatorer/macro</t>
  </si>
  <si>
    <t>калькулятор macro</t>
  </si>
  <si>
    <t>рассчитать macro</t>
  </si>
  <si>
    <t>/ru/калькуляторы/macro</t>
  </si>
  <si>
    <t>one-rep-max</t>
  </si>
  <si>
    <t>calculadora one rep max</t>
  </si>
  <si>
    <t>calcular one rep max</t>
  </si>
  <si>
    <t>/calculadoras/one-rep-max</t>
  </si>
  <si>
    <t>one rep max calculator</t>
  </si>
  <si>
    <t>calculate one rep max</t>
  </si>
  <si>
    <t>/en/calculators/one-rep-max</t>
  </si>
  <si>
    <t>/pt/calculadoras/one-rep-max</t>
  </si>
  <si>
    <t>calculateur one rep max</t>
  </si>
  <si>
    <t>calculer one rep max</t>
  </si>
  <si>
    <t>/fr/calculatrices/one-rep-max</t>
  </si>
  <si>
    <t>/hi/calculators/one-rep-max</t>
  </si>
  <si>
    <t>one rep max rechner</t>
  </si>
  <si>
    <t>one rep max berechnen</t>
  </si>
  <si>
    <t>/de/rechner/one-rep-max</t>
  </si>
  <si>
    <t>calcolatore one rep max</t>
  </si>
  <si>
    <t>calcolo one rep max</t>
  </si>
  <si>
    <t>/it/calcolatrici/one-rep-max</t>
  </si>
  <si>
    <t>kalkulator one rep max</t>
  </si>
  <si>
    <t>oblicz one rep max</t>
  </si>
  <si>
    <t>/pl/kalkulatory/one-rep-max</t>
  </si>
  <si>
    <t>one rep max berekenen</t>
  </si>
  <si>
    <t>/nl/calculators/one-rep-max</t>
  </si>
  <si>
    <t>one rep max hesaplama</t>
  </si>
  <si>
    <t>one rep max hesapla</t>
  </si>
  <si>
    <t>/tr/hesap-makineleri/one-rep-max</t>
  </si>
  <si>
    <t>one rep max kalkylator</t>
  </si>
  <si>
    <t>beräkna one rep max</t>
  </si>
  <si>
    <t>/sv/kalkylatorer/one-rep-max</t>
  </si>
  <si>
    <t>калькулятор one rep max</t>
  </si>
  <si>
    <t>рассчитать one rep max</t>
  </si>
  <si>
    <t>/ru/калькуляторы/one-rep-max</t>
  </si>
  <si>
    <t>ovulation</t>
  </si>
  <si>
    <t>calculadora ovulation</t>
  </si>
  <si>
    <t>calcular ovulation</t>
  </si>
  <si>
    <t>/calculadoras/ovulation</t>
  </si>
  <si>
    <t>ovulation calculator</t>
  </si>
  <si>
    <t>calculate ovulation</t>
  </si>
  <si>
    <t>/en/calculators/ovulation</t>
  </si>
  <si>
    <t>/pt/calculadoras/ovulation</t>
  </si>
  <si>
    <t>calculateur ovulation</t>
  </si>
  <si>
    <t>calculer ovulation</t>
  </si>
  <si>
    <t>/fr/calculatrices/ovulation</t>
  </si>
  <si>
    <t>/hi/calculators/ovulation</t>
  </si>
  <si>
    <t>ovulation rechner</t>
  </si>
  <si>
    <t>ovulation berechnen</t>
  </si>
  <si>
    <t>/de/rechner/ovulation</t>
  </si>
  <si>
    <t>calcolatore ovulation</t>
  </si>
  <si>
    <t>calcolo ovulation</t>
  </si>
  <si>
    <t>/it/calcolatrici/ovulation</t>
  </si>
  <si>
    <t>kalkulator ovulation</t>
  </si>
  <si>
    <t>oblicz ovulation</t>
  </si>
  <si>
    <t>/pl/kalkulatory/ovulation</t>
  </si>
  <si>
    <t>ovulation berekenen</t>
  </si>
  <si>
    <t>/nl/calculators/ovulation</t>
  </si>
  <si>
    <t>ovulation hesaplama</t>
  </si>
  <si>
    <t>ovulation hesapla</t>
  </si>
  <si>
    <t>/tr/hesap-makineleri/ovulation</t>
  </si>
  <si>
    <t>ovulation kalkylator</t>
  </si>
  <si>
    <t>beräkna ovulation</t>
  </si>
  <si>
    <t>/sv/kalkylatorer/ovulation</t>
  </si>
  <si>
    <t>калькулятор ovulation</t>
  </si>
  <si>
    <t>рассчитать ovulation</t>
  </si>
  <si>
    <t>/ru/калькуляторы/ovulation</t>
  </si>
  <si>
    <t>pace</t>
  </si>
  <si>
    <t>calculadora pace</t>
  </si>
  <si>
    <t>calcular pace</t>
  </si>
  <si>
    <t>/calculadoras/pace</t>
  </si>
  <si>
    <t>pace calculator</t>
  </si>
  <si>
    <t>calculate pace</t>
  </si>
  <si>
    <t>/en/calculators/pace</t>
  </si>
  <si>
    <t>/pt/calculadoras/pace</t>
  </si>
  <si>
    <t>calculateur pace</t>
  </si>
  <si>
    <t>calculer pace</t>
  </si>
  <si>
    <t>/fr/calculatrices/pace</t>
  </si>
  <si>
    <t>/hi/calculators/pace</t>
  </si>
  <si>
    <t>pace rechner</t>
  </si>
  <si>
    <t>pace berechnen</t>
  </si>
  <si>
    <t>/de/rechner/pace</t>
  </si>
  <si>
    <t>calcolatore pace</t>
  </si>
  <si>
    <t>calcolo pace</t>
  </si>
  <si>
    <t>/it/calcolatrici/pace</t>
  </si>
  <si>
    <t>kalkulator pace</t>
  </si>
  <si>
    <t>oblicz pace</t>
  </si>
  <si>
    <t>/pl/kalkulatory/pace</t>
  </si>
  <si>
    <t>pace berekenen</t>
  </si>
  <si>
    <t>/nl/calculators/pace</t>
  </si>
  <si>
    <t>pace hesaplama</t>
  </si>
  <si>
    <t>pace hesapla</t>
  </si>
  <si>
    <t>/tr/hesap-makineleri/pace</t>
  </si>
  <si>
    <t>pace kalkylator</t>
  </si>
  <si>
    <t>beräkna pace</t>
  </si>
  <si>
    <t>/sv/kalkylatorer/pace</t>
  </si>
  <si>
    <t>калькулятор pace</t>
  </si>
  <si>
    <t>рассчитать pace</t>
  </si>
  <si>
    <t>/ru/калькуляторы/pace</t>
  </si>
  <si>
    <t>percentage</t>
  </si>
  <si>
    <t>calculadora de porcentaje</t>
  </si>
  <si>
    <t>calcular porcentaje</t>
  </si>
  <si>
    <t>/calculadoras/percentage</t>
  </si>
  <si>
    <t>percentage calculator</t>
  </si>
  <si>
    <t>calculate percentage</t>
  </si>
  <si>
    <t>/en/calculators/percentage</t>
  </si>
  <si>
    <t>calculadora de porcentagem</t>
  </si>
  <si>
    <t>calcular porcentagem</t>
  </si>
  <si>
    <t>/pt/calculadoras/percentage</t>
  </si>
  <si>
    <t>calculateur de pourcentage</t>
  </si>
  <si>
    <t>calculer pourcentage</t>
  </si>
  <si>
    <t>/fr/calculatrices/percentage</t>
  </si>
  <si>
    <t>/hi/calculators/percentage</t>
  </si>
  <si>
    <t>prozentrechner</t>
  </si>
  <si>
    <t>prozent berechnen</t>
  </si>
  <si>
    <t>/de/rechner/percentage</t>
  </si>
  <si>
    <t>calcolatore percentuale</t>
  </si>
  <si>
    <t>calcolo percentuale</t>
  </si>
  <si>
    <t>/it/calcolatrici/percentage</t>
  </si>
  <si>
    <t>kalkulator procentowy</t>
  </si>
  <si>
    <t>oblicz procent</t>
  </si>
  <si>
    <t>/pl/kalkulatory/percentage</t>
  </si>
  <si>
    <t>percentage berekenen</t>
  </si>
  <si>
    <t>/nl/calculators/percentage</t>
  </si>
  <si>
    <t>yüzde hesaplama</t>
  </si>
  <si>
    <t>yüzde hesapla</t>
  </si>
  <si>
    <t>/tr/hesap-makineleri/percentage</t>
  </si>
  <si>
    <t>procentkalkylator</t>
  </si>
  <si>
    <t>beräkna procent</t>
  </si>
  <si>
    <t>/sv/kalkylatorer/percentage</t>
  </si>
  <si>
    <t>калькулятор процентов</t>
  </si>
  <si>
    <t>рассчитать процент</t>
  </si>
  <si>
    <t>/ru/калькуляторы/percentage</t>
  </si>
  <si>
    <t>period</t>
  </si>
  <si>
    <t>calculadora period</t>
  </si>
  <si>
    <t>calcular period</t>
  </si>
  <si>
    <t>/calculadoras/period</t>
  </si>
  <si>
    <t>period calculator</t>
  </si>
  <si>
    <t>calculate period</t>
  </si>
  <si>
    <t>/en/calculators/period</t>
  </si>
  <si>
    <t>/pt/calculadoras/period</t>
  </si>
  <si>
    <t>calculateur period</t>
  </si>
  <si>
    <t>calculer period</t>
  </si>
  <si>
    <t>/fr/calculatrices/period</t>
  </si>
  <si>
    <t>/hi/calculators/period</t>
  </si>
  <si>
    <t>period rechner</t>
  </si>
  <si>
    <t>period berechnen</t>
  </si>
  <si>
    <t>/de/rechner/period</t>
  </si>
  <si>
    <t>calcolatore period</t>
  </si>
  <si>
    <t>calcolo period</t>
  </si>
  <si>
    <t>/it/calcolatrici/period</t>
  </si>
  <si>
    <t>kalkulator period</t>
  </si>
  <si>
    <t>oblicz period</t>
  </si>
  <si>
    <t>/pl/kalkulatory/period</t>
  </si>
  <si>
    <t>period berekenen</t>
  </si>
  <si>
    <t>/nl/calculators/period</t>
  </si>
  <si>
    <t>period hesaplama</t>
  </si>
  <si>
    <t>period hesapla</t>
  </si>
  <si>
    <t>/tr/hesap-makineleri/period</t>
  </si>
  <si>
    <t>period kalkylator</t>
  </si>
  <si>
    <t>beräkna period</t>
  </si>
  <si>
    <t>/sv/kalkylatorer/period</t>
  </si>
  <si>
    <t>калькулятор period</t>
  </si>
  <si>
    <t>рассчитать period</t>
  </si>
  <si>
    <t>/ru/калькуляторы/period</t>
  </si>
  <si>
    <t>pregnancy</t>
  </si>
  <si>
    <t>calculadora de embarazo</t>
  </si>
  <si>
    <t>calculadora embarazo | semanas de embarazo</t>
  </si>
  <si>
    <t>/calculadoras/pregnancy</t>
  </si>
  <si>
    <t>pregnancy calculator</t>
  </si>
  <si>
    <t>pregnancy week calculator | weeks pregnant</t>
  </si>
  <si>
    <t>/en/calculators/pregnancy</t>
  </si>
  <si>
    <t>calculadora de gravidez</t>
  </si>
  <si>
    <t>calculadora gestacional | semanas de gravidez</t>
  </si>
  <si>
    <t>/pt/calculadoras/pregnancy</t>
  </si>
  <si>
    <t>calculateur de grossesse</t>
  </si>
  <si>
    <t>semaines de grossesse | calculateur grossesse</t>
  </si>
  <si>
    <t>/fr/calculatrices/pregnancy</t>
  </si>
  <si>
    <t>pregnancy week calculator | garbhavastha calculator</t>
  </si>
  <si>
    <t>/hi/calculators/pregnancy</t>
  </si>
  <si>
    <t>schwangerschaftsrechner</t>
  </si>
  <si>
    <t>schwangerschaft berechnen | schwangerschaftswoche</t>
  </si>
  <si>
    <t>/de/rechner/pregnancy</t>
  </si>
  <si>
    <t>calcolatore gravidanza</t>
  </si>
  <si>
    <t>settimane di gravidanza | calcolo gravidanza</t>
  </si>
  <si>
    <t>/it/calcolatrici/pregnancy</t>
  </si>
  <si>
    <t>kalkulator ciąży</t>
  </si>
  <si>
    <t>oblicz ciążę | tydzień ciąży</t>
  </si>
  <si>
    <t>/pl/kalkulatory/pregnancy</t>
  </si>
  <si>
    <t>zwangerschapscalculator</t>
  </si>
  <si>
    <t>zwangerschap berekenen | zwangerschapsweken</t>
  </si>
  <si>
    <t>/nl/calculators/pregnancy</t>
  </si>
  <si>
    <t>hamilelik hesaplama</t>
  </si>
  <si>
    <t>hamilelik haftası hesaplama</t>
  </si>
  <si>
    <t>/tr/hesap-makineleri/pregnancy</t>
  </si>
  <si>
    <t>graviditetskalkylator</t>
  </si>
  <si>
    <t>graviditetsvecka | beräkna graviditet</t>
  </si>
  <si>
    <t>/sv/kalkylatorer/pregnancy</t>
  </si>
  <si>
    <t>калькулятор беременности</t>
  </si>
  <si>
    <t>срок беременности | недели беременности</t>
  </si>
  <si>
    <t>/ru/калькуляторы/pregnancy</t>
  </si>
  <si>
    <t>pregnancy-conception</t>
  </si>
  <si>
    <t>calculadora pregnancy conception</t>
  </si>
  <si>
    <t>calcular pregnancy conception</t>
  </si>
  <si>
    <t>/calculadoras/pregnancy-conception</t>
  </si>
  <si>
    <t>pregnancy conception calculator</t>
  </si>
  <si>
    <t>calculate pregnancy conception</t>
  </si>
  <si>
    <t>/en/calculators/pregnancy-conception</t>
  </si>
  <si>
    <t>/pt/calculadoras/pregnancy-conception</t>
  </si>
  <si>
    <t>calculateur pregnancy conception</t>
  </si>
  <si>
    <t>calculer pregnancy conception</t>
  </si>
  <si>
    <t>/fr/calculatrices/pregnancy-conception</t>
  </si>
  <si>
    <t>/hi/calculators/pregnancy-conception</t>
  </si>
  <si>
    <t>pregnancy conception rechner</t>
  </si>
  <si>
    <t>pregnancy conception berechnen</t>
  </si>
  <si>
    <t>/de/rechner/pregnancy-conception</t>
  </si>
  <si>
    <t>calcolatore pregnancy conception</t>
  </si>
  <si>
    <t>calcolo pregnancy conception</t>
  </si>
  <si>
    <t>/it/calcolatrici/pregnancy-conception</t>
  </si>
  <si>
    <t>kalkulator pregnancy conception</t>
  </si>
  <si>
    <t>oblicz pregnancy conception</t>
  </si>
  <si>
    <t>/pl/kalkulatory/pregnancy-conception</t>
  </si>
  <si>
    <t>pregnancy conception berekenen</t>
  </si>
  <si>
    <t>/nl/calculators/pregnancy-conception</t>
  </si>
  <si>
    <t>pregnancy conception hesaplama</t>
  </si>
  <si>
    <t>pregnancy conception hesapla</t>
  </si>
  <si>
    <t>/tr/hesap-makineleri/pregnancy-conception</t>
  </si>
  <si>
    <t>pregnancy conception kalkylator</t>
  </si>
  <si>
    <t>beräkna pregnancy conception</t>
  </si>
  <si>
    <t>/sv/kalkylatorer/pregnancy-conception</t>
  </si>
  <si>
    <t>калькулятор pregnancy conception</t>
  </si>
  <si>
    <t>рассчитать pregnancy conception</t>
  </si>
  <si>
    <t>/ru/калькуляторы/pregnancy-conception</t>
  </si>
  <si>
    <t>pregnancy-weight-gain</t>
  </si>
  <si>
    <t>calculadora pregnancy weight gain</t>
  </si>
  <si>
    <t>calcular pregnancy weight gain</t>
  </si>
  <si>
    <t>/calculadoras/pregnancy-weight-gain</t>
  </si>
  <si>
    <t>pregnancy weight gain calculator</t>
  </si>
  <si>
    <t>calculate pregnancy weight gain</t>
  </si>
  <si>
    <t>/en/calculators/pregnancy-weight-gain</t>
  </si>
  <si>
    <t>/pt/calculadoras/pregnancy-weight-gain</t>
  </si>
  <si>
    <t>calculateur pregnancy weight gain</t>
  </si>
  <si>
    <t>calculer pregnancy weight gain</t>
  </si>
  <si>
    <t>/fr/calculatrices/pregnancy-weight-gain</t>
  </si>
  <si>
    <t>/hi/calculators/pregnancy-weight-gain</t>
  </si>
  <si>
    <t>pregnancy weight gain rechner</t>
  </si>
  <si>
    <t>pregnancy weight gain berechnen</t>
  </si>
  <si>
    <t>/de/rechner/pregnancy-weight-gain</t>
  </si>
  <si>
    <t>calcolatore pregnancy weight gain</t>
  </si>
  <si>
    <t>calcolo pregnancy weight gain</t>
  </si>
  <si>
    <t>/it/calcolatrici/pregnancy-weight-gain</t>
  </si>
  <si>
    <t>kalkulator pregnancy weight gain</t>
  </si>
  <si>
    <t>oblicz pregnancy weight gain</t>
  </si>
  <si>
    <t>/pl/kalkulatory/pregnancy-weight-gain</t>
  </si>
  <si>
    <t>pregnancy weight gain berekenen</t>
  </si>
  <si>
    <t>/nl/calculators/pregnancy-weight-gain</t>
  </si>
  <si>
    <t>pregnancy weight gain hesaplama</t>
  </si>
  <si>
    <t>pregnancy weight gain hesapla</t>
  </si>
  <si>
    <t>/tr/hesap-makineleri/pregnancy-weight-gain</t>
  </si>
  <si>
    <t>pregnancy weight gain kalkylator</t>
  </si>
  <si>
    <t>beräkna pregnancy weight gain</t>
  </si>
  <si>
    <t>/sv/kalkylatorer/pregnancy-weight-gain</t>
  </si>
  <si>
    <t>калькулятор pregnancy weight gain</t>
  </si>
  <si>
    <t>рассчитать pregnancy weight gain</t>
  </si>
  <si>
    <t>/ru/калькуляторы/pregnancy-weight-gain</t>
  </si>
  <si>
    <t>protein</t>
  </si>
  <si>
    <t>calculadora protein</t>
  </si>
  <si>
    <t>calcular protein</t>
  </si>
  <si>
    <t>/calculadoras/protein</t>
  </si>
  <si>
    <t>protein calculator</t>
  </si>
  <si>
    <t>calculate protein</t>
  </si>
  <si>
    <t>/en/calculators/protein</t>
  </si>
  <si>
    <t>/pt/calculadoras/protein</t>
  </si>
  <si>
    <t>calculateur protein</t>
  </si>
  <si>
    <t>calculer protein</t>
  </si>
  <si>
    <t>/fr/calculatrices/protein</t>
  </si>
  <si>
    <t>/hi/calculators/protein</t>
  </si>
  <si>
    <t>protein rechner</t>
  </si>
  <si>
    <t>protein berechnen</t>
  </si>
  <si>
    <t>/de/rechner/protein</t>
  </si>
  <si>
    <t>calcolatore protein</t>
  </si>
  <si>
    <t>calcolo protein</t>
  </si>
  <si>
    <t>/it/calcolatrici/protein</t>
  </si>
  <si>
    <t>kalkulator protein</t>
  </si>
  <si>
    <t>oblicz protein</t>
  </si>
  <si>
    <t>/pl/kalkulatory/protein</t>
  </si>
  <si>
    <t>protein berekenen</t>
  </si>
  <si>
    <t>/nl/calculators/protein</t>
  </si>
  <si>
    <t>protein hesaplama</t>
  </si>
  <si>
    <t>protein hesapla</t>
  </si>
  <si>
    <t>/tr/hesap-makineleri/protein</t>
  </si>
  <si>
    <t>protein kalkylator</t>
  </si>
  <si>
    <t>beräkna protein</t>
  </si>
  <si>
    <t>/sv/kalkylatorer/protein</t>
  </si>
  <si>
    <t>калькулятор protein</t>
  </si>
  <si>
    <t>рассчитать protein</t>
  </si>
  <si>
    <t>/ru/калькуляторы/protein</t>
  </si>
  <si>
    <t>sleep</t>
  </si>
  <si>
    <t>calculadora sleep</t>
  </si>
  <si>
    <t>calcular sleep</t>
  </si>
  <si>
    <t>/calculadoras/sleep</t>
  </si>
  <si>
    <t>sleep calculator</t>
  </si>
  <si>
    <t>calculate sleep</t>
  </si>
  <si>
    <t>/en/calculators/sleep</t>
  </si>
  <si>
    <t>/pt/calculadoras/sleep</t>
  </si>
  <si>
    <t>calculateur sleep</t>
  </si>
  <si>
    <t>calculer sleep</t>
  </si>
  <si>
    <t>/fr/calculatrices/sleep</t>
  </si>
  <si>
    <t>/hi/calculators/sleep</t>
  </si>
  <si>
    <t>sleep rechner</t>
  </si>
  <si>
    <t>sleep berechnen</t>
  </si>
  <si>
    <t>/de/rechner/sleep</t>
  </si>
  <si>
    <t>calcolatore sleep</t>
  </si>
  <si>
    <t>calcolo sleep</t>
  </si>
  <si>
    <t>/it/calcolatrici/sleep</t>
  </si>
  <si>
    <t>kalkulator sleep</t>
  </si>
  <si>
    <t>oblicz sleep</t>
  </si>
  <si>
    <t>/pl/kalkulatory/sleep</t>
  </si>
  <si>
    <t>sleep berekenen</t>
  </si>
  <si>
    <t>/nl/calculators/sleep</t>
  </si>
  <si>
    <t>sleep hesaplama</t>
  </si>
  <si>
    <t>sleep hesapla</t>
  </si>
  <si>
    <t>/tr/hesap-makineleri/sleep</t>
  </si>
  <si>
    <t>sleep kalkylator</t>
  </si>
  <si>
    <t>beräkna sleep</t>
  </si>
  <si>
    <t>/sv/kalkylatorer/sleep</t>
  </si>
  <si>
    <t>калькулятор sleep</t>
  </si>
  <si>
    <t>рассчитать sleep</t>
  </si>
  <si>
    <t>/ru/калькуляторы/sleep</t>
  </si>
  <si>
    <t>tdee</t>
  </si>
  <si>
    <t>calculadora tdee</t>
  </si>
  <si>
    <t>calcular tdee</t>
  </si>
  <si>
    <t>/calculadoras/tdee</t>
  </si>
  <si>
    <t>tdee calculator</t>
  </si>
  <si>
    <t>calculate tdee</t>
  </si>
  <si>
    <t>/en/calculators/tdee</t>
  </si>
  <si>
    <t>/pt/calculadoras/tdee</t>
  </si>
  <si>
    <t>calculateur tdee</t>
  </si>
  <si>
    <t>calculer tdee</t>
  </si>
  <si>
    <t>/fr/calculatrices/tdee</t>
  </si>
  <si>
    <t>/hi/calculators/tdee</t>
  </si>
  <si>
    <t>tdee rechner</t>
  </si>
  <si>
    <t>tdee berechnen</t>
  </si>
  <si>
    <t>/de/rechner/tdee</t>
  </si>
  <si>
    <t>calcolatore tdee</t>
  </si>
  <si>
    <t>calcolo tdee</t>
  </si>
  <si>
    <t>/it/calcolatrici/tdee</t>
  </si>
  <si>
    <t>kalkulator tdee</t>
  </si>
  <si>
    <t>oblicz tdee</t>
  </si>
  <si>
    <t>/pl/kalkulatory/tdee</t>
  </si>
  <si>
    <t>tdee berekenen</t>
  </si>
  <si>
    <t>/nl/calculators/tdee</t>
  </si>
  <si>
    <t>tdee hesaplama</t>
  </si>
  <si>
    <t>tdee hesapla</t>
  </si>
  <si>
    <t>/tr/hesap-makineleri/tdee</t>
  </si>
  <si>
    <t>tdee kalkylator</t>
  </si>
  <si>
    <t>beräkna tdee</t>
  </si>
  <si>
    <t>/sv/kalkylatorer/tdee</t>
  </si>
  <si>
    <t>калькулятор tdee</t>
  </si>
  <si>
    <t>рассчитать tdee</t>
  </si>
  <si>
    <t>/ru/калькуляторы/tdee</t>
  </si>
  <si>
    <t>tip</t>
  </si>
  <si>
    <t>calculadora tip</t>
  </si>
  <si>
    <t>calcular tip</t>
  </si>
  <si>
    <t>/calculadoras/tip</t>
  </si>
  <si>
    <t>tip calculator</t>
  </si>
  <si>
    <t>calculate tip</t>
  </si>
  <si>
    <t>/en/calculators/tip</t>
  </si>
  <si>
    <t>/pt/calculadoras/tip</t>
  </si>
  <si>
    <t>calculateur tip</t>
  </si>
  <si>
    <t>calculer tip</t>
  </si>
  <si>
    <t>/fr/calculatrices/tip</t>
  </si>
  <si>
    <t>/hi/calculators/tip</t>
  </si>
  <si>
    <t>tip rechner</t>
  </si>
  <si>
    <t>tip berechnen</t>
  </si>
  <si>
    <t>/de/rechner/tip</t>
  </si>
  <si>
    <t>calcolatore tip</t>
  </si>
  <si>
    <t>calcolo tip</t>
  </si>
  <si>
    <t>/it/calcolatrici/tip</t>
  </si>
  <si>
    <t>kalkulator tip</t>
  </si>
  <si>
    <t>oblicz tip</t>
  </si>
  <si>
    <t>/pl/kalkulatory/tip</t>
  </si>
  <si>
    <t>tip berekenen</t>
  </si>
  <si>
    <t>/nl/calculators/tip</t>
  </si>
  <si>
    <t>tip hesaplama</t>
  </si>
  <si>
    <t>tip hesapla</t>
  </si>
  <si>
    <t>/tr/hesap-makineleri/tip</t>
  </si>
  <si>
    <t>tip kalkylator</t>
  </si>
  <si>
    <t>beräkna tip</t>
  </si>
  <si>
    <t>/sv/kalkylatorer/tip</t>
  </si>
  <si>
    <t>калькулятор tip</t>
  </si>
  <si>
    <t>рассчитать tip</t>
  </si>
  <si>
    <t>/ru/калькуляторы/tip</t>
  </si>
  <si>
    <t>waist-hip</t>
  </si>
  <si>
    <t>calculadora waist hip</t>
  </si>
  <si>
    <t>calcular waist hip</t>
  </si>
  <si>
    <t>/calculadoras/waist-hip</t>
  </si>
  <si>
    <t>waist hip calculator</t>
  </si>
  <si>
    <t>calculate waist hip</t>
  </si>
  <si>
    <t>/en/calculators/waist-hip</t>
  </si>
  <si>
    <t>/pt/calculadoras/waist-hip</t>
  </si>
  <si>
    <t>calculateur waist hip</t>
  </si>
  <si>
    <t>calculer waist hip</t>
  </si>
  <si>
    <t>/fr/calculatrices/waist-hip</t>
  </si>
  <si>
    <t>/hi/calculators/waist-hip</t>
  </si>
  <si>
    <t>waist hip rechner</t>
  </si>
  <si>
    <t>waist hip berechnen</t>
  </si>
  <si>
    <t>/de/rechner/waist-hip</t>
  </si>
  <si>
    <t>calcolatore waist hip</t>
  </si>
  <si>
    <t>calcolo waist hip</t>
  </si>
  <si>
    <t>/it/calcolatrici/waist-hip</t>
  </si>
  <si>
    <t>kalkulator waist hip</t>
  </si>
  <si>
    <t>oblicz waist hip</t>
  </si>
  <si>
    <t>/pl/kalkulatory/waist-hip</t>
  </si>
  <si>
    <t>waist hip berekenen</t>
  </si>
  <si>
    <t>/nl/calculators/waist-hip</t>
  </si>
  <si>
    <t>waist hip hesaplama</t>
  </si>
  <si>
    <t>waist hip hesapla</t>
  </si>
  <si>
    <t>/tr/hesap-makineleri/waist-hip</t>
  </si>
  <si>
    <t>waist hip kalkylator</t>
  </si>
  <si>
    <t>beräkna waist hip</t>
  </si>
  <si>
    <t>/sv/kalkylatorer/waist-hip</t>
  </si>
  <si>
    <t>калькулятор waist hip</t>
  </si>
  <si>
    <t>рассчитать waist hip</t>
  </si>
  <si>
    <t>/ru/калькуляторы/waist-hip</t>
  </si>
  <si>
    <t>weight-watchers</t>
  </si>
  <si>
    <t>calculadora weight watchers</t>
  </si>
  <si>
    <t>calcular weight watchers</t>
  </si>
  <si>
    <t>/calculadoras/weight-watchers</t>
  </si>
  <si>
    <t>weight watchers calculator</t>
  </si>
  <si>
    <t>calculate weight watchers</t>
  </si>
  <si>
    <t>/en/calculators/weight-watchers</t>
  </si>
  <si>
    <t>/pt/calculadoras/weight-watchers</t>
  </si>
  <si>
    <t>calculateur weight watchers</t>
  </si>
  <si>
    <t>calculer weight watchers</t>
  </si>
  <si>
    <t>/fr/calculatrices/weight-watchers</t>
  </si>
  <si>
    <t>/hi/calculators/weight-watchers</t>
  </si>
  <si>
    <t>weight watchers rechner</t>
  </si>
  <si>
    <t>weight watchers berechnen</t>
  </si>
  <si>
    <t>/de/rechner/weight-watchers</t>
  </si>
  <si>
    <t>calcolatore weight watchers</t>
  </si>
  <si>
    <t>calcolo weight watchers</t>
  </si>
  <si>
    <t>/it/calcolatrici/weight-watchers</t>
  </si>
  <si>
    <t>kalkulator weight watchers</t>
  </si>
  <si>
    <t>oblicz weight watchers</t>
  </si>
  <si>
    <t>/pl/kalkulatory/weight-watchers</t>
  </si>
  <si>
    <t>weight watchers berekenen</t>
  </si>
  <si>
    <t>/nl/calculators/weight-watchers</t>
  </si>
  <si>
    <t>weight watchers hesaplama</t>
  </si>
  <si>
    <t>weight watchers hesapla</t>
  </si>
  <si>
    <t>/tr/hesap-makineleri/weight-watchers</t>
  </si>
  <si>
    <t>weight watchers kalkylator</t>
  </si>
  <si>
    <t>beräkna weight watchers</t>
  </si>
  <si>
    <t>/sv/kalkylatorer/weight-watchers</t>
  </si>
  <si>
    <t>калькулятор weight watchers</t>
  </si>
  <si>
    <t>рассчитать weight watchers</t>
  </si>
  <si>
    <t>/ru/калькуляторы/weight-watchers</t>
  </si>
  <si>
    <t>Enviado</t>
  </si>
  <si>
    <t>GSC</t>
  </si>
  <si>
    <t>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</si>
</sst>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BF9000"/>
      </font>
      <fill>
        <patternFill patternType="solid">
          <fgColor rgb="FFFFF2CC"/>
          <bgColor rgb="FFFFF2CC"/>
        </patternFill>
      </fill>
    </dxf>
    <dxf>
      <font>
        <b/>
        <color rgb="FF38761D"/>
      </font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3"/>
  <sheetViews>
    <sheetView tabSelected="1" workbookViewId="0">
      <pane ySplit="1" topLeftCell="A2" activePane="bottomLeft" state="frozen"/>
      <selection pane="bottomLeft" activeCell="O1" sqref="A1:O11"/>
    </sheetView>
  </sheetViews>
  <sheetFormatPr baseColWidth="10" defaultColWidth="9.140625" defaultRowHeight="15" x14ac:dyDescent="0.25"/>
  <cols>
    <col min="1" max="1" width="20" customWidth="1"/>
    <col min="2" max="2" width="10" customWidth="1"/>
    <col min="3" max="3" width="30" customWidth="1"/>
    <col min="4" max="4" width="60" customWidth="1"/>
    <col min="5" max="5" width="18" customWidth="1"/>
    <col min="6" max="6" width="16" customWidth="1"/>
    <col min="7" max="7" width="12" customWidth="1"/>
    <col min="8" max="8" width="11" customWidth="1"/>
    <col min="9" max="9" width="10" customWidth="1"/>
    <col min="10" max="10" width="18" customWidth="1"/>
    <col min="11" max="11" width="16" customWidth="1"/>
    <col min="12" max="12" width="18" customWidth="1"/>
    <col min="13" max="13" width="16" customWidth="1"/>
    <col min="14" max="14" width="14" customWidth="1"/>
    <col min="15" max="15" width="35" customWidth="1"/>
    <col min="16" max="17" width="4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1198</v>
      </c>
      <c r="Q1" s="1" t="s">
        <v>1199</v>
      </c>
    </row>
    <row r="2" spans="1:17" x14ac:dyDescent="0.25">
      <c r="A2" t="s">
        <v>197</v>
      </c>
      <c r="B2" t="s">
        <v>29</v>
      </c>
      <c r="C2" t="s">
        <v>205</v>
      </c>
      <c r="D2" t="s">
        <v>206</v>
      </c>
      <c r="E2" s="2">
        <v>1872</v>
      </c>
      <c r="F2" s="3">
        <v>16</v>
      </c>
      <c r="G2" s="4">
        <v>0.13</v>
      </c>
      <c r="H2" s="5">
        <v>0.3</v>
      </c>
      <c r="I2" t="s">
        <v>19</v>
      </c>
      <c r="J2">
        <v>1</v>
      </c>
      <c r="K2">
        <v>1</v>
      </c>
      <c r="L2">
        <v>1</v>
      </c>
      <c r="M2" s="4">
        <f>IF(E2&lt;&gt;"",IF(F2&lt;&gt;"",(E2/(F2+1))*J2*K2*L2,""),"")</f>
        <v>110.11764705882354</v>
      </c>
      <c r="N2" t="str">
        <f>IF(M2&lt;&gt;"",IF(M2&gt;150,"Tier 1",IF(M2&gt;50,"Tier 2","Tier 3")),"")</f>
        <v>Tier 2</v>
      </c>
      <c r="O2" t="s">
        <v>207</v>
      </c>
    </row>
    <row r="3" spans="1:17" x14ac:dyDescent="0.25">
      <c r="A3" t="s">
        <v>97</v>
      </c>
      <c r="B3" t="s">
        <v>39</v>
      </c>
      <c r="C3" t="s">
        <v>112</v>
      </c>
      <c r="D3" t="s">
        <v>113</v>
      </c>
      <c r="E3" s="2">
        <v>1060</v>
      </c>
      <c r="F3" s="3">
        <v>17</v>
      </c>
      <c r="G3" s="4">
        <v>0.14000000000000001</v>
      </c>
      <c r="H3" s="5">
        <v>0.42</v>
      </c>
      <c r="I3" t="s">
        <v>19</v>
      </c>
      <c r="J3">
        <v>1</v>
      </c>
      <c r="K3">
        <v>1</v>
      </c>
      <c r="L3">
        <v>1</v>
      </c>
      <c r="M3" s="4">
        <f>IF(E3&lt;&gt;"",IF(F3&lt;&gt;"",(E3/(F3+1))*J3*K3*L3,""),"")</f>
        <v>58.888888888888886</v>
      </c>
      <c r="N3" t="str">
        <f>IF(M3&lt;&gt;"",IF(M3&gt;150,"Tier 1",IF(M3&gt;50,"Tier 2","Tier 3")),"")</f>
        <v>Tier 2</v>
      </c>
      <c r="O3" t="s">
        <v>114</v>
      </c>
    </row>
    <row r="4" spans="1:17" x14ac:dyDescent="0.25">
      <c r="A4" t="s">
        <v>197</v>
      </c>
      <c r="B4" t="s">
        <v>33</v>
      </c>
      <c r="C4" t="s">
        <v>201</v>
      </c>
      <c r="D4" t="s">
        <v>202</v>
      </c>
      <c r="E4" s="2">
        <v>2745</v>
      </c>
      <c r="F4" s="3">
        <v>14</v>
      </c>
      <c r="G4" s="4">
        <v>0.15</v>
      </c>
      <c r="H4" s="5">
        <v>0.37</v>
      </c>
      <c r="I4" t="s">
        <v>19</v>
      </c>
      <c r="J4">
        <v>1</v>
      </c>
      <c r="K4">
        <v>1</v>
      </c>
      <c r="L4">
        <v>1.2</v>
      </c>
      <c r="M4" s="4">
        <f>IF(E4&lt;&gt;"",IF(F4&lt;&gt;"",(E4/(F4+1))*J4*K4*L4,""),"")</f>
        <v>219.6</v>
      </c>
      <c r="N4" t="str">
        <f>IF(M4&lt;&gt;"",IF(M4&gt;150,"Tier 1",IF(M4&gt;50,"Tier 2","Tier 3")),"")</f>
        <v>Tier 1</v>
      </c>
      <c r="O4" t="s">
        <v>208</v>
      </c>
    </row>
    <row r="5" spans="1:17" x14ac:dyDescent="0.25">
      <c r="A5" t="s">
        <v>197</v>
      </c>
      <c r="B5" t="s">
        <v>16</v>
      </c>
      <c r="C5" t="s">
        <v>198</v>
      </c>
      <c r="D5" t="s">
        <v>199</v>
      </c>
      <c r="E5" s="2">
        <v>2314</v>
      </c>
      <c r="F5" s="3">
        <v>13</v>
      </c>
      <c r="G5" s="4">
        <v>0.15</v>
      </c>
      <c r="H5" s="5">
        <v>0.42</v>
      </c>
      <c r="I5" t="s">
        <v>19</v>
      </c>
      <c r="J5">
        <v>1</v>
      </c>
      <c r="K5">
        <v>1</v>
      </c>
      <c r="L5">
        <v>1.2</v>
      </c>
      <c r="M5" s="4">
        <f>IF(E5&lt;&gt;"",IF(F5&lt;&gt;"",(E5/(F5+1))*J5*K5*L5,""),"")</f>
        <v>198.34285714285713</v>
      </c>
      <c r="N5" t="str">
        <f>IF(M5&lt;&gt;"",IF(M5&gt;150,"Tier 1",IF(M5&gt;50,"Tier 2","Tier 3")),"")</f>
        <v>Tier 1</v>
      </c>
      <c r="O5" t="s">
        <v>200</v>
      </c>
    </row>
    <row r="6" spans="1:17" x14ac:dyDescent="0.25">
      <c r="A6" t="s">
        <v>197</v>
      </c>
      <c r="B6" t="s">
        <v>35</v>
      </c>
      <c r="C6" t="s">
        <v>209</v>
      </c>
      <c r="D6" t="s">
        <v>210</v>
      </c>
      <c r="E6" s="2">
        <v>1535</v>
      </c>
      <c r="F6" s="3">
        <v>13</v>
      </c>
      <c r="G6" s="4">
        <v>0.15</v>
      </c>
      <c r="H6" s="5">
        <v>0.41</v>
      </c>
      <c r="I6" t="s">
        <v>19</v>
      </c>
      <c r="J6">
        <v>1</v>
      </c>
      <c r="K6">
        <v>1</v>
      </c>
      <c r="L6">
        <v>1</v>
      </c>
      <c r="M6" s="4">
        <f>IF(E6&lt;&gt;"",IF(F6&lt;&gt;"",(E6/(F6+1))*J6*K6*L6,""),"")</f>
        <v>109.64285714285714</v>
      </c>
      <c r="N6" t="str">
        <f>IF(M6&lt;&gt;"",IF(M6&gt;150,"Tier 1",IF(M6&gt;50,"Tier 2","Tier 3")),"")</f>
        <v>Tier 2</v>
      </c>
      <c r="O6" t="s">
        <v>211</v>
      </c>
    </row>
    <row r="7" spans="1:17" x14ac:dyDescent="0.25">
      <c r="A7" t="s">
        <v>97</v>
      </c>
      <c r="B7" t="s">
        <v>60</v>
      </c>
      <c r="C7" t="s">
        <v>126</v>
      </c>
      <c r="D7" t="s">
        <v>127</v>
      </c>
      <c r="E7" s="2">
        <v>1247</v>
      </c>
      <c r="F7" s="3">
        <v>18</v>
      </c>
      <c r="G7" s="4">
        <v>0.15</v>
      </c>
      <c r="H7" s="5">
        <v>0.26</v>
      </c>
      <c r="I7" t="s">
        <v>19</v>
      </c>
      <c r="J7">
        <v>1</v>
      </c>
      <c r="K7">
        <v>1</v>
      </c>
      <c r="L7">
        <v>0.8</v>
      </c>
      <c r="M7" s="4">
        <f>IF(E7&lt;&gt;"",IF(F7&lt;&gt;"",(E7/(F7+1))*J7*K7*L7,""),"")</f>
        <v>52.505263157894746</v>
      </c>
      <c r="N7" t="str">
        <f>IF(M7&lt;&gt;"",IF(M7&gt;150,"Tier 1",IF(M7&gt;50,"Tier 2","Tier 3")),"")</f>
        <v>Tier 2</v>
      </c>
      <c r="O7" t="s">
        <v>128</v>
      </c>
    </row>
    <row r="8" spans="1:17" x14ac:dyDescent="0.25">
      <c r="A8" t="s">
        <v>197</v>
      </c>
      <c r="B8" t="s">
        <v>21</v>
      </c>
      <c r="C8" t="s">
        <v>201</v>
      </c>
      <c r="D8" t="s">
        <v>202</v>
      </c>
      <c r="E8" s="2">
        <v>3364</v>
      </c>
      <c r="F8" s="3">
        <v>15</v>
      </c>
      <c r="G8" s="4">
        <v>0.16</v>
      </c>
      <c r="H8" s="5">
        <v>0.26</v>
      </c>
      <c r="I8" t="s">
        <v>58</v>
      </c>
      <c r="J8">
        <v>1</v>
      </c>
      <c r="K8">
        <v>1.3</v>
      </c>
      <c r="L8">
        <v>1.2</v>
      </c>
      <c r="M8" s="4">
        <f>IF(E8&lt;&gt;"",IF(F8&lt;&gt;"",(E8/(F8+1))*J8*K8*L8,""),"")</f>
        <v>327.98999999999995</v>
      </c>
      <c r="N8" t="str">
        <f>IF(M8&lt;&gt;"",IF(M8&gt;150,"Tier 1",IF(M8&gt;50,"Tier 2","Tier 3")),"")</f>
        <v>Tier 1</v>
      </c>
      <c r="O8" t="s">
        <v>203</v>
      </c>
    </row>
    <row r="9" spans="1:17" x14ac:dyDescent="0.25">
      <c r="A9" t="s">
        <v>65</v>
      </c>
      <c r="B9" t="s">
        <v>25</v>
      </c>
      <c r="C9" t="s">
        <v>66</v>
      </c>
      <c r="D9" t="s">
        <v>67</v>
      </c>
      <c r="E9" s="2">
        <v>1393</v>
      </c>
      <c r="F9" s="3">
        <v>18</v>
      </c>
      <c r="G9" s="4">
        <v>0.16</v>
      </c>
      <c r="H9" s="5">
        <v>0.52</v>
      </c>
      <c r="I9" t="s">
        <v>19</v>
      </c>
      <c r="J9">
        <v>1</v>
      </c>
      <c r="K9">
        <v>1</v>
      </c>
      <c r="L9">
        <v>1.2</v>
      </c>
      <c r="M9" s="4">
        <f>IF(E9&lt;&gt;"",IF(F9&lt;&gt;"",(E9/(F9+1))*J9*K9*L9,""),"")</f>
        <v>87.978947368421046</v>
      </c>
      <c r="N9" t="str">
        <f>IF(M9&lt;&gt;"",IF(M9&gt;150,"Tier 1",IF(M9&gt;50,"Tier 2","Tier 3")),"")</f>
        <v>Tier 2</v>
      </c>
      <c r="O9" t="s">
        <v>72</v>
      </c>
    </row>
    <row r="10" spans="1:17" x14ac:dyDescent="0.25">
      <c r="A10" t="s">
        <v>261</v>
      </c>
      <c r="B10" t="s">
        <v>39</v>
      </c>
      <c r="C10" t="s">
        <v>276</v>
      </c>
      <c r="D10" t="s">
        <v>277</v>
      </c>
      <c r="E10" s="2">
        <v>577</v>
      </c>
      <c r="F10" s="3">
        <v>19</v>
      </c>
      <c r="G10" s="4">
        <v>0.16</v>
      </c>
      <c r="H10" s="5">
        <v>0.42</v>
      </c>
      <c r="I10" t="s">
        <v>63</v>
      </c>
      <c r="J10">
        <v>1</v>
      </c>
      <c r="K10">
        <v>0.8</v>
      </c>
      <c r="L10">
        <v>1</v>
      </c>
      <c r="M10" s="4">
        <f>IF(E10&lt;&gt;"",IF(F10&lt;&gt;"",(E10/(F10+1))*J10*K10*L10,""),"")</f>
        <v>23.080000000000002</v>
      </c>
      <c r="N10" t="str">
        <f>IF(M10&lt;&gt;"",IF(M10&gt;150,"Tier 1",IF(M10&gt;50,"Tier 2","Tier 3")),"")</f>
        <v>Tier 3</v>
      </c>
      <c r="O10" t="s">
        <v>278</v>
      </c>
    </row>
    <row r="11" spans="1:17" x14ac:dyDescent="0.25">
      <c r="A11" t="s">
        <v>1101</v>
      </c>
      <c r="B11" t="s">
        <v>29</v>
      </c>
      <c r="C11" t="s">
        <v>1109</v>
      </c>
      <c r="D11" t="s">
        <v>1110</v>
      </c>
      <c r="E11" s="2">
        <v>5008</v>
      </c>
      <c r="F11" s="3">
        <v>18</v>
      </c>
      <c r="G11" s="4">
        <v>0.17</v>
      </c>
      <c r="H11" s="5">
        <v>0.54</v>
      </c>
      <c r="I11" t="s">
        <v>63</v>
      </c>
      <c r="J11">
        <v>1</v>
      </c>
      <c r="K11">
        <v>0.8</v>
      </c>
      <c r="L11">
        <v>1</v>
      </c>
      <c r="M11" s="4">
        <f>IF(E11&lt;&gt;"",IF(F11&lt;&gt;"",(E11/(F11+1))*J11*K11*L11,""),"")</f>
        <v>210.86315789473684</v>
      </c>
      <c r="N11" t="str">
        <f>IF(M11&lt;&gt;"",IF(M11&gt;150,"Tier 1",IF(M11&gt;50,"Tier 2","Tier 3")),"")</f>
        <v>Tier 1</v>
      </c>
      <c r="O11" t="s">
        <v>1111</v>
      </c>
    </row>
    <row r="12" spans="1:17" x14ac:dyDescent="0.25">
      <c r="A12" t="s">
        <v>197</v>
      </c>
      <c r="B12" t="s">
        <v>25</v>
      </c>
      <c r="C12" t="s">
        <v>198</v>
      </c>
      <c r="D12" t="s">
        <v>199</v>
      </c>
      <c r="E12" s="2">
        <v>2044</v>
      </c>
      <c r="F12" s="3">
        <v>19</v>
      </c>
      <c r="G12" s="4">
        <v>0.17</v>
      </c>
      <c r="H12" s="5">
        <v>0.47</v>
      </c>
      <c r="I12" t="s">
        <v>19</v>
      </c>
      <c r="J12">
        <v>1</v>
      </c>
      <c r="K12">
        <v>1</v>
      </c>
      <c r="L12">
        <v>1.2</v>
      </c>
      <c r="M12" s="4">
        <f>IF(E12&lt;&gt;"",IF(F12&lt;&gt;"",(E12/(F12+1))*J12*K12*L12,""),"")</f>
        <v>122.64</v>
      </c>
      <c r="N12" t="str">
        <f>IF(M12&lt;&gt;"",IF(M12&gt;150,"Tier 1",IF(M12&gt;50,"Tier 2","Tier 3")),"")</f>
        <v>Tier 2</v>
      </c>
      <c r="O12" t="s">
        <v>204</v>
      </c>
    </row>
    <row r="13" spans="1:17" x14ac:dyDescent="0.25">
      <c r="A13" t="s">
        <v>97</v>
      </c>
      <c r="B13" t="s">
        <v>35</v>
      </c>
      <c r="C13" t="s">
        <v>109</v>
      </c>
      <c r="D13" t="s">
        <v>110</v>
      </c>
      <c r="E13" s="2">
        <v>1531</v>
      </c>
      <c r="F13" s="3">
        <v>16</v>
      </c>
      <c r="G13" s="4">
        <v>0.17</v>
      </c>
      <c r="H13" s="5">
        <v>0.54</v>
      </c>
      <c r="I13" t="s">
        <v>63</v>
      </c>
      <c r="J13">
        <v>1</v>
      </c>
      <c r="K13">
        <v>0.8</v>
      </c>
      <c r="L13">
        <v>1</v>
      </c>
      <c r="M13" s="4">
        <f>IF(E13&lt;&gt;"",IF(F13&lt;&gt;"",(E13/(F13+1))*J13*K13*L13,""),"")</f>
        <v>72.047058823529412</v>
      </c>
      <c r="N13" t="str">
        <f>IF(M13&lt;&gt;"",IF(M13&gt;150,"Tier 1",IF(M13&gt;50,"Tier 2","Tier 3")),"")</f>
        <v>Tier 2</v>
      </c>
      <c r="O13" t="s">
        <v>111</v>
      </c>
    </row>
    <row r="14" spans="1:17" x14ac:dyDescent="0.25">
      <c r="A14" t="s">
        <v>65</v>
      </c>
      <c r="B14" t="s">
        <v>60</v>
      </c>
      <c r="C14" t="s">
        <v>94</v>
      </c>
      <c r="D14" t="s">
        <v>95</v>
      </c>
      <c r="E14" s="2">
        <v>1000</v>
      </c>
      <c r="F14" s="3">
        <v>19</v>
      </c>
      <c r="G14" s="4">
        <v>0.17</v>
      </c>
      <c r="H14" s="5">
        <v>0.57999999999999996</v>
      </c>
      <c r="I14" t="s">
        <v>19</v>
      </c>
      <c r="J14">
        <v>1</v>
      </c>
      <c r="K14">
        <v>1</v>
      </c>
      <c r="L14">
        <v>0.8</v>
      </c>
      <c r="M14" s="4">
        <f>IF(E14&lt;&gt;"",IF(F14&lt;&gt;"",(E14/(F14+1))*J14*K14*L14,""),"")</f>
        <v>40</v>
      </c>
      <c r="N14" t="str">
        <f>IF(M14&lt;&gt;"",IF(M14&gt;150,"Tier 1",IF(M14&gt;50,"Tier 2","Tier 3")),"")</f>
        <v>Tier 3</v>
      </c>
      <c r="O14" t="s">
        <v>96</v>
      </c>
    </row>
    <row r="15" spans="1:17" x14ac:dyDescent="0.25">
      <c r="A15" t="s">
        <v>261</v>
      </c>
      <c r="B15" t="s">
        <v>43</v>
      </c>
      <c r="C15" t="s">
        <v>279</v>
      </c>
      <c r="D15" t="s">
        <v>280</v>
      </c>
      <c r="E15" s="2">
        <v>558</v>
      </c>
      <c r="F15" s="3">
        <v>17</v>
      </c>
      <c r="G15" s="4">
        <v>0.17</v>
      </c>
      <c r="H15" s="5">
        <v>0.75</v>
      </c>
      <c r="I15" t="s">
        <v>19</v>
      </c>
      <c r="J15">
        <v>1</v>
      </c>
      <c r="K15">
        <v>1</v>
      </c>
      <c r="L15">
        <v>1</v>
      </c>
      <c r="M15" s="4">
        <f>IF(E15&lt;&gt;"",IF(F15&lt;&gt;"",(E15/(F15+1))*J15*K15*L15,""),"")</f>
        <v>31</v>
      </c>
      <c r="N15" t="str">
        <f>IF(M15&lt;&gt;"",IF(M15&gt;150,"Tier 1",IF(M15&gt;50,"Tier 2","Tier 3")),"")</f>
        <v>Tier 3</v>
      </c>
      <c r="O15" t="s">
        <v>281</v>
      </c>
    </row>
    <row r="16" spans="1:17" x14ac:dyDescent="0.25">
      <c r="A16" t="s">
        <v>807</v>
      </c>
      <c r="B16" t="s">
        <v>16</v>
      </c>
      <c r="C16" t="s">
        <v>808</v>
      </c>
      <c r="D16" t="s">
        <v>809</v>
      </c>
      <c r="E16" s="2">
        <v>2943</v>
      </c>
      <c r="F16" s="3">
        <v>21</v>
      </c>
      <c r="G16" s="4">
        <v>0.18</v>
      </c>
      <c r="H16" s="5">
        <v>0.68</v>
      </c>
      <c r="I16" t="s">
        <v>58</v>
      </c>
      <c r="J16">
        <v>1</v>
      </c>
      <c r="K16">
        <v>1.3</v>
      </c>
      <c r="L16">
        <v>1.2</v>
      </c>
      <c r="M16" s="4">
        <f>IF(E16&lt;&gt;"",IF(F16&lt;&gt;"",(E16/(F16+1))*J16*K16*L16,""),"")</f>
        <v>208.68545454545458</v>
      </c>
      <c r="N16" t="str">
        <f>IF(M16&lt;&gt;"",IF(M16&gt;150,"Tier 1",IF(M16&gt;50,"Tier 2","Tier 3")),"")</f>
        <v>Tier 1</v>
      </c>
      <c r="O16" t="s">
        <v>810</v>
      </c>
    </row>
    <row r="17" spans="1:15" x14ac:dyDescent="0.25">
      <c r="A17" t="s">
        <v>743</v>
      </c>
      <c r="B17" t="s">
        <v>39</v>
      </c>
      <c r="C17" t="s">
        <v>758</v>
      </c>
      <c r="D17" t="s">
        <v>759</v>
      </c>
      <c r="E17" s="2">
        <v>1245</v>
      </c>
      <c r="F17" s="3">
        <v>22</v>
      </c>
      <c r="G17" s="4">
        <v>0.18</v>
      </c>
      <c r="H17" s="5">
        <v>1.1000000000000001</v>
      </c>
      <c r="I17" t="s">
        <v>19</v>
      </c>
      <c r="J17">
        <v>1.5</v>
      </c>
      <c r="K17">
        <v>1</v>
      </c>
      <c r="L17">
        <v>1</v>
      </c>
      <c r="M17" s="4">
        <f>IF(E17&lt;&gt;"",IF(F17&lt;&gt;"",(E17/(F17+1))*J17*K17*L17,""),"")</f>
        <v>81.195652173913047</v>
      </c>
      <c r="N17" t="str">
        <f>IF(M17&lt;&gt;"",IF(M17&gt;150,"Tier 1",IF(M17&gt;50,"Tier 2","Tier 3")),"")</f>
        <v>Tier 2</v>
      </c>
      <c r="O17" t="s">
        <v>760</v>
      </c>
    </row>
    <row r="18" spans="1:15" x14ac:dyDescent="0.25">
      <c r="A18" t="s">
        <v>197</v>
      </c>
      <c r="B18" t="s">
        <v>39</v>
      </c>
      <c r="C18" t="s">
        <v>212</v>
      </c>
      <c r="D18" t="s">
        <v>213</v>
      </c>
      <c r="E18" s="2">
        <v>1205</v>
      </c>
      <c r="F18" s="3">
        <v>17</v>
      </c>
      <c r="G18" s="4">
        <v>0.18</v>
      </c>
      <c r="H18" s="5">
        <v>0.24</v>
      </c>
      <c r="I18" t="s">
        <v>19</v>
      </c>
      <c r="J18">
        <v>1</v>
      </c>
      <c r="K18">
        <v>1</v>
      </c>
      <c r="L18">
        <v>1</v>
      </c>
      <c r="M18" s="4">
        <f>IF(E18&lt;&gt;"",IF(F18&lt;&gt;"",(E18/(F18+1))*J18*K18*L18,""),"")</f>
        <v>66.944444444444443</v>
      </c>
      <c r="N18" t="str">
        <f>IF(M18&lt;&gt;"",IF(M18&gt;150,"Tier 1",IF(M18&gt;50,"Tier 2","Tier 3")),"")</f>
        <v>Tier 2</v>
      </c>
      <c r="O18" t="s">
        <v>214</v>
      </c>
    </row>
    <row r="19" spans="1:15" x14ac:dyDescent="0.25">
      <c r="A19" t="s">
        <v>261</v>
      </c>
      <c r="B19" t="s">
        <v>25</v>
      </c>
      <c r="C19" t="s">
        <v>262</v>
      </c>
      <c r="D19" t="s">
        <v>263</v>
      </c>
      <c r="E19" s="2">
        <v>841</v>
      </c>
      <c r="F19" s="3">
        <v>20</v>
      </c>
      <c r="G19" s="4">
        <v>0.18</v>
      </c>
      <c r="H19" s="5">
        <v>0.71</v>
      </c>
      <c r="I19" t="s">
        <v>58</v>
      </c>
      <c r="J19">
        <v>1</v>
      </c>
      <c r="K19">
        <v>1.3</v>
      </c>
      <c r="L19">
        <v>1.2</v>
      </c>
      <c r="M19" s="4">
        <f>IF(E19&lt;&gt;"",IF(F19&lt;&gt;"",(E19/(F19+1))*J19*K19*L19,""),"")</f>
        <v>62.47428571428572</v>
      </c>
      <c r="N19" t="str">
        <f>IF(M19&lt;&gt;"",IF(M19&gt;150,"Tier 1",IF(M19&gt;50,"Tier 2","Tier 3")),"")</f>
        <v>Tier 2</v>
      </c>
      <c r="O19" t="s">
        <v>268</v>
      </c>
    </row>
    <row r="20" spans="1:15" x14ac:dyDescent="0.25">
      <c r="A20" t="s">
        <v>807</v>
      </c>
      <c r="B20" t="s">
        <v>55</v>
      </c>
      <c r="C20" t="s">
        <v>833</v>
      </c>
      <c r="D20" t="s">
        <v>834</v>
      </c>
      <c r="E20" s="2">
        <v>736</v>
      </c>
      <c r="F20" s="3">
        <v>19</v>
      </c>
      <c r="G20" s="4">
        <v>0.18</v>
      </c>
      <c r="H20" s="5">
        <v>0.51</v>
      </c>
      <c r="I20" t="s">
        <v>19</v>
      </c>
      <c r="J20">
        <v>1</v>
      </c>
      <c r="K20">
        <v>1</v>
      </c>
      <c r="L20">
        <v>0.8</v>
      </c>
      <c r="M20" s="4">
        <f>IF(E20&lt;&gt;"",IF(F20&lt;&gt;"",(E20/(F20+1))*J20*K20*L20,""),"")</f>
        <v>29.439999999999998</v>
      </c>
      <c r="N20" t="str">
        <f>IF(M20&lt;&gt;"",IF(M20&gt;150,"Tier 1",IF(M20&gt;50,"Tier 2","Tier 3")),"")</f>
        <v>Tier 3</v>
      </c>
      <c r="O20" t="s">
        <v>835</v>
      </c>
    </row>
    <row r="21" spans="1:15" x14ac:dyDescent="0.25">
      <c r="A21" t="s">
        <v>261</v>
      </c>
      <c r="B21" t="s">
        <v>21</v>
      </c>
      <c r="C21" t="s">
        <v>265</v>
      </c>
      <c r="D21" t="s">
        <v>266</v>
      </c>
      <c r="E21" s="2">
        <v>1706</v>
      </c>
      <c r="F21" s="3">
        <v>18</v>
      </c>
      <c r="G21" s="4">
        <v>0.19</v>
      </c>
      <c r="H21" s="5">
        <v>0.52</v>
      </c>
      <c r="I21" t="s">
        <v>19</v>
      </c>
      <c r="J21">
        <v>1</v>
      </c>
      <c r="K21">
        <v>1</v>
      </c>
      <c r="L21">
        <v>1.2</v>
      </c>
      <c r="M21" s="4">
        <f>IF(E21&lt;&gt;"",IF(F21&lt;&gt;"",(E21/(F21+1))*J21*K21*L21,""),"")</f>
        <v>107.74736842105263</v>
      </c>
      <c r="N21" t="str">
        <f>IF(M21&lt;&gt;"",IF(M21&gt;150,"Tier 1",IF(M21&gt;50,"Tier 2","Tier 3")),"")</f>
        <v>Tier 2</v>
      </c>
      <c r="O21" t="s">
        <v>267</v>
      </c>
    </row>
    <row r="22" spans="1:15" x14ac:dyDescent="0.25">
      <c r="A22" t="s">
        <v>261</v>
      </c>
      <c r="B22" t="s">
        <v>33</v>
      </c>
      <c r="C22" t="s">
        <v>265</v>
      </c>
      <c r="D22" t="s">
        <v>266</v>
      </c>
      <c r="E22" s="2">
        <v>1209</v>
      </c>
      <c r="F22" s="3">
        <v>18</v>
      </c>
      <c r="G22" s="4">
        <v>0.19</v>
      </c>
      <c r="H22" s="5">
        <v>0.51</v>
      </c>
      <c r="I22" t="s">
        <v>58</v>
      </c>
      <c r="J22">
        <v>1</v>
      </c>
      <c r="K22">
        <v>1.3</v>
      </c>
      <c r="L22">
        <v>1.2</v>
      </c>
      <c r="M22" s="4">
        <f>IF(E22&lt;&gt;"",IF(F22&lt;&gt;"",(E22/(F22+1))*J22*K22*L22,""),"")</f>
        <v>99.265263157894722</v>
      </c>
      <c r="N22" t="str">
        <f>IF(M22&lt;&gt;"",IF(M22&gt;150,"Tier 1",IF(M22&gt;50,"Tier 2","Tier 3")),"")</f>
        <v>Tier 2</v>
      </c>
      <c r="O22" t="s">
        <v>272</v>
      </c>
    </row>
    <row r="23" spans="1:15" x14ac:dyDescent="0.25">
      <c r="A23" t="s">
        <v>197</v>
      </c>
      <c r="B23" t="s">
        <v>60</v>
      </c>
      <c r="C23" t="s">
        <v>226</v>
      </c>
      <c r="D23" t="s">
        <v>227</v>
      </c>
      <c r="E23" s="2">
        <v>1713</v>
      </c>
      <c r="F23" s="3">
        <v>17</v>
      </c>
      <c r="G23" s="4">
        <v>0.19</v>
      </c>
      <c r="H23" s="5">
        <v>0.32</v>
      </c>
      <c r="I23" t="s">
        <v>58</v>
      </c>
      <c r="J23">
        <v>1</v>
      </c>
      <c r="K23">
        <v>1.3</v>
      </c>
      <c r="L23">
        <v>0.8</v>
      </c>
      <c r="M23" s="4">
        <f>IF(E23&lt;&gt;"",IF(F23&lt;&gt;"",(E23/(F23+1))*J23*K23*L23,""),"")</f>
        <v>98.973333333333358</v>
      </c>
      <c r="N23" t="str">
        <f>IF(M23&lt;&gt;"",IF(M23&gt;150,"Tier 1",IF(M23&gt;50,"Tier 2","Tier 3")),"")</f>
        <v>Tier 2</v>
      </c>
      <c r="O23" t="s">
        <v>228</v>
      </c>
    </row>
    <row r="24" spans="1:15" x14ac:dyDescent="0.25">
      <c r="A24" t="s">
        <v>325</v>
      </c>
      <c r="B24" t="s">
        <v>60</v>
      </c>
      <c r="C24" t="s">
        <v>354</v>
      </c>
      <c r="D24" t="s">
        <v>355</v>
      </c>
      <c r="E24" s="2">
        <v>1582</v>
      </c>
      <c r="F24" s="3">
        <v>23</v>
      </c>
      <c r="G24" s="4">
        <v>0.19</v>
      </c>
      <c r="H24" s="5">
        <v>0.8</v>
      </c>
      <c r="I24" t="s">
        <v>58</v>
      </c>
      <c r="J24">
        <v>1</v>
      </c>
      <c r="K24">
        <v>1.3</v>
      </c>
      <c r="L24">
        <v>0.8</v>
      </c>
      <c r="M24" s="4">
        <f>IF(E24&lt;&gt;"",IF(F24&lt;&gt;"",(E24/(F24+1))*J24*K24*L24,""),"")</f>
        <v>68.553333333333342</v>
      </c>
      <c r="N24" t="str">
        <f>IF(M24&lt;&gt;"",IF(M24&gt;150,"Tier 1",IF(M24&gt;50,"Tier 2","Tier 3")),"")</f>
        <v>Tier 2</v>
      </c>
      <c r="O24" t="s">
        <v>356</v>
      </c>
    </row>
    <row r="25" spans="1:15" x14ac:dyDescent="0.25">
      <c r="A25" t="s">
        <v>261</v>
      </c>
      <c r="B25" t="s">
        <v>35</v>
      </c>
      <c r="C25" t="s">
        <v>273</v>
      </c>
      <c r="D25" t="s">
        <v>274</v>
      </c>
      <c r="E25" s="2">
        <v>838</v>
      </c>
      <c r="F25" s="3">
        <v>17</v>
      </c>
      <c r="G25" s="4">
        <v>0.19</v>
      </c>
      <c r="H25" s="5">
        <v>0.7</v>
      </c>
      <c r="I25" t="s">
        <v>58</v>
      </c>
      <c r="J25">
        <v>1</v>
      </c>
      <c r="K25">
        <v>1.3</v>
      </c>
      <c r="L25">
        <v>1</v>
      </c>
      <c r="M25" s="4">
        <f>IF(E25&lt;&gt;"",IF(F25&lt;&gt;"",(E25/(F25+1))*J25*K25*L25,""),"")</f>
        <v>60.522222222222226</v>
      </c>
      <c r="N25" t="str">
        <f>IF(M25&lt;&gt;"",IF(M25&gt;150,"Tier 1",IF(M25&gt;50,"Tier 2","Tier 3")),"")</f>
        <v>Tier 2</v>
      </c>
      <c r="O25" t="s">
        <v>275</v>
      </c>
    </row>
    <row r="26" spans="1:15" x14ac:dyDescent="0.25">
      <c r="A26" t="s">
        <v>197</v>
      </c>
      <c r="B26" t="s">
        <v>47</v>
      </c>
      <c r="C26" t="s">
        <v>201</v>
      </c>
      <c r="D26" t="s">
        <v>218</v>
      </c>
      <c r="E26" s="2">
        <v>1054</v>
      </c>
      <c r="F26" s="3">
        <v>22</v>
      </c>
      <c r="G26" s="4">
        <v>0.19</v>
      </c>
      <c r="H26" s="5">
        <v>0.43</v>
      </c>
      <c r="I26" t="s">
        <v>58</v>
      </c>
      <c r="J26">
        <v>1</v>
      </c>
      <c r="K26">
        <v>1.3</v>
      </c>
      <c r="L26">
        <v>1</v>
      </c>
      <c r="M26" s="4">
        <f>IF(E26&lt;&gt;"",IF(F26&lt;&gt;"",(E26/(F26+1))*J26*K26*L26,""),"")</f>
        <v>59.573913043478264</v>
      </c>
      <c r="N26" t="str">
        <f>IF(M26&lt;&gt;"",IF(M26&gt;150,"Tier 1",IF(M26&gt;50,"Tier 2","Tier 3")),"")</f>
        <v>Tier 2</v>
      </c>
      <c r="O26" t="s">
        <v>219</v>
      </c>
    </row>
    <row r="27" spans="1:15" x14ac:dyDescent="0.25">
      <c r="A27" t="s">
        <v>807</v>
      </c>
      <c r="B27" t="s">
        <v>60</v>
      </c>
      <c r="C27" t="s">
        <v>836</v>
      </c>
      <c r="D27" t="s">
        <v>837</v>
      </c>
      <c r="E27" s="2">
        <v>1699</v>
      </c>
      <c r="F27" s="3">
        <v>20</v>
      </c>
      <c r="G27" s="4">
        <v>0.19</v>
      </c>
      <c r="H27" s="5">
        <v>0.36</v>
      </c>
      <c r="I27" t="s">
        <v>63</v>
      </c>
      <c r="J27">
        <v>1</v>
      </c>
      <c r="K27">
        <v>0.8</v>
      </c>
      <c r="L27">
        <v>0.8</v>
      </c>
      <c r="M27" s="4">
        <f>IF(E27&lt;&gt;"",IF(F27&lt;&gt;"",(E27/(F27+1))*J27*K27*L27,""),"")</f>
        <v>51.779047619047617</v>
      </c>
      <c r="N27" t="str">
        <f>IF(M27&lt;&gt;"",IF(M27&gt;150,"Tier 1",IF(M27&gt;50,"Tier 2","Tier 3")),"")</f>
        <v>Tier 2</v>
      </c>
      <c r="O27" t="s">
        <v>838</v>
      </c>
    </row>
    <row r="28" spans="1:15" x14ac:dyDescent="0.25">
      <c r="A28" t="s">
        <v>807</v>
      </c>
      <c r="B28" t="s">
        <v>47</v>
      </c>
      <c r="C28" t="s">
        <v>811</v>
      </c>
      <c r="D28" t="s">
        <v>828</v>
      </c>
      <c r="E28" s="2">
        <v>1215</v>
      </c>
      <c r="F28" s="3">
        <v>23</v>
      </c>
      <c r="G28" s="4">
        <v>0.19</v>
      </c>
      <c r="H28" s="5">
        <v>0.41</v>
      </c>
      <c r="I28" t="s">
        <v>19</v>
      </c>
      <c r="J28">
        <v>1</v>
      </c>
      <c r="K28">
        <v>1</v>
      </c>
      <c r="L28">
        <v>1</v>
      </c>
      <c r="M28" s="4">
        <f>IF(E28&lt;&gt;"",IF(F28&lt;&gt;"",(E28/(F28+1))*J28*K28*L28,""),"")</f>
        <v>50.625</v>
      </c>
      <c r="N28" t="str">
        <f>IF(M28&lt;&gt;"",IF(M28&gt;150,"Tier 1",IF(M28&gt;50,"Tier 2","Tier 3")),"")</f>
        <v>Tier 2</v>
      </c>
      <c r="O28" t="s">
        <v>829</v>
      </c>
    </row>
    <row r="29" spans="1:15" x14ac:dyDescent="0.25">
      <c r="A29" t="s">
        <v>261</v>
      </c>
      <c r="B29" t="s">
        <v>51</v>
      </c>
      <c r="C29" t="s">
        <v>284</v>
      </c>
      <c r="D29" t="s">
        <v>285</v>
      </c>
      <c r="E29" s="2">
        <v>459</v>
      </c>
      <c r="F29" s="3">
        <v>17</v>
      </c>
      <c r="G29" s="4">
        <v>0.19</v>
      </c>
      <c r="H29" s="5">
        <v>0.49</v>
      </c>
      <c r="I29" t="s">
        <v>58</v>
      </c>
      <c r="J29">
        <v>1</v>
      </c>
      <c r="K29">
        <v>1.3</v>
      </c>
      <c r="L29">
        <v>0.8</v>
      </c>
      <c r="M29" s="4">
        <f>IF(E29&lt;&gt;"",IF(F29&lt;&gt;"",(E29/(F29+1))*J29*K29*L29,""),"")</f>
        <v>26.52</v>
      </c>
      <c r="N29" t="str">
        <f>IF(M29&lt;&gt;"",IF(M29&gt;150,"Tier 1",IF(M29&gt;50,"Tier 2","Tier 3")),"")</f>
        <v>Tier 3</v>
      </c>
      <c r="O29" t="s">
        <v>286</v>
      </c>
    </row>
    <row r="30" spans="1:15" x14ac:dyDescent="0.25">
      <c r="A30" t="s">
        <v>261</v>
      </c>
      <c r="B30" t="s">
        <v>55</v>
      </c>
      <c r="C30" t="s">
        <v>287</v>
      </c>
      <c r="D30" t="s">
        <v>288</v>
      </c>
      <c r="E30" s="2">
        <v>285</v>
      </c>
      <c r="F30" s="3">
        <v>23</v>
      </c>
      <c r="G30" s="4">
        <v>0.19</v>
      </c>
      <c r="H30" s="5">
        <v>0.5</v>
      </c>
      <c r="I30" t="s">
        <v>58</v>
      </c>
      <c r="J30">
        <v>1</v>
      </c>
      <c r="K30">
        <v>1.3</v>
      </c>
      <c r="L30">
        <v>0.8</v>
      </c>
      <c r="M30" s="4">
        <f>IF(E30&lt;&gt;"",IF(F30&lt;&gt;"",(E30/(F30+1))*J30*K30*L30,""),"")</f>
        <v>12.350000000000001</v>
      </c>
      <c r="N30" t="str">
        <f>IF(M30&lt;&gt;"",IF(M30&gt;150,"Tier 1",IF(M30&gt;50,"Tier 2","Tier 3")),"")</f>
        <v>Tier 3</v>
      </c>
      <c r="O30" t="s">
        <v>289</v>
      </c>
    </row>
    <row r="31" spans="1:15" x14ac:dyDescent="0.25">
      <c r="A31" t="s">
        <v>873</v>
      </c>
      <c r="B31" t="s">
        <v>16</v>
      </c>
      <c r="C31" t="s">
        <v>874</v>
      </c>
      <c r="D31" t="s">
        <v>875</v>
      </c>
      <c r="E31" s="2">
        <v>7700</v>
      </c>
      <c r="F31" s="3">
        <v>25</v>
      </c>
      <c r="G31" s="4">
        <v>0.2</v>
      </c>
      <c r="H31" s="5">
        <v>0.85</v>
      </c>
      <c r="I31" t="s">
        <v>58</v>
      </c>
      <c r="J31">
        <v>1</v>
      </c>
      <c r="K31">
        <v>1.3</v>
      </c>
      <c r="L31">
        <v>1.2</v>
      </c>
      <c r="M31" s="4">
        <f>IF(E31&lt;&gt;"",IF(F31&lt;&gt;"",(E31/(F31+1))*J31*K31*L31,""),"")</f>
        <v>462</v>
      </c>
      <c r="N31" t="str">
        <f>IF(M31&lt;&gt;"",IF(M31&gt;150,"Tier 1",IF(M31&gt;50,"Tier 2","Tier 3")),"")</f>
        <v>Tier 1</v>
      </c>
      <c r="O31" t="s">
        <v>876</v>
      </c>
    </row>
    <row r="32" spans="1:15" x14ac:dyDescent="0.25">
      <c r="A32" t="s">
        <v>1037</v>
      </c>
      <c r="B32" t="s">
        <v>35</v>
      </c>
      <c r="C32" t="s">
        <v>1049</v>
      </c>
      <c r="D32" t="s">
        <v>1050</v>
      </c>
      <c r="E32" s="2">
        <v>3157</v>
      </c>
      <c r="F32" s="3">
        <v>25</v>
      </c>
      <c r="G32" s="4">
        <v>0.2</v>
      </c>
      <c r="H32" s="5">
        <v>0.97</v>
      </c>
      <c r="I32" t="s">
        <v>19</v>
      </c>
      <c r="J32">
        <v>1</v>
      </c>
      <c r="K32">
        <v>1</v>
      </c>
      <c r="L32">
        <v>1</v>
      </c>
      <c r="M32" s="4">
        <f>IF(E32&lt;&gt;"",IF(F32&lt;&gt;"",(E32/(F32+1))*J32*K32*L32,""),"")</f>
        <v>121.42307692307692</v>
      </c>
      <c r="N32" t="str">
        <f>IF(M32&lt;&gt;"",IF(M32&gt;150,"Tier 1",IF(M32&gt;50,"Tier 2","Tier 3")),"")</f>
        <v>Tier 2</v>
      </c>
      <c r="O32" t="s">
        <v>1051</v>
      </c>
    </row>
    <row r="33" spans="1:15" x14ac:dyDescent="0.25">
      <c r="A33" t="s">
        <v>807</v>
      </c>
      <c r="B33" t="s">
        <v>29</v>
      </c>
      <c r="C33" t="s">
        <v>815</v>
      </c>
      <c r="D33" t="s">
        <v>816</v>
      </c>
      <c r="E33" s="2">
        <v>1821</v>
      </c>
      <c r="F33" s="3">
        <v>22</v>
      </c>
      <c r="G33" s="4">
        <v>0.2</v>
      </c>
      <c r="H33" s="5">
        <v>0.67</v>
      </c>
      <c r="I33" t="s">
        <v>19</v>
      </c>
      <c r="J33">
        <v>1</v>
      </c>
      <c r="K33">
        <v>1</v>
      </c>
      <c r="L33">
        <v>1</v>
      </c>
      <c r="M33" s="4">
        <f>IF(E33&lt;&gt;"",IF(F33&lt;&gt;"",(E33/(F33+1))*J33*K33*L33,""),"")</f>
        <v>79.173913043478265</v>
      </c>
      <c r="N33" t="str">
        <f>IF(M33&lt;&gt;"",IF(M33&gt;150,"Tier 1",IF(M33&gt;50,"Tier 2","Tier 3")),"")</f>
        <v>Tier 2</v>
      </c>
      <c r="O33" t="s">
        <v>817</v>
      </c>
    </row>
    <row r="34" spans="1:15" x14ac:dyDescent="0.25">
      <c r="A34" t="s">
        <v>679</v>
      </c>
      <c r="B34" t="s">
        <v>43</v>
      </c>
      <c r="C34" t="s">
        <v>697</v>
      </c>
      <c r="D34" t="s">
        <v>698</v>
      </c>
      <c r="E34" s="2">
        <v>998</v>
      </c>
      <c r="F34" s="3">
        <v>24</v>
      </c>
      <c r="G34" s="4">
        <v>0.2</v>
      </c>
      <c r="H34" s="5">
        <v>1.1499999999999999</v>
      </c>
      <c r="I34" t="s">
        <v>19</v>
      </c>
      <c r="J34">
        <v>1.5</v>
      </c>
      <c r="K34">
        <v>1</v>
      </c>
      <c r="L34">
        <v>1</v>
      </c>
      <c r="M34" s="4">
        <f>IF(E34&lt;&gt;"",IF(F34&lt;&gt;"",(E34/(F34+1))*J34*K34*L34,""),"")</f>
        <v>59.88</v>
      </c>
      <c r="N34" t="str">
        <f>IF(M34&lt;&gt;"",IF(M34&gt;150,"Tier 1",IF(M34&gt;50,"Tier 2","Tier 3")),"")</f>
        <v>Tier 2</v>
      </c>
      <c r="O34" t="s">
        <v>699</v>
      </c>
    </row>
    <row r="35" spans="1:15" x14ac:dyDescent="0.25">
      <c r="A35" t="s">
        <v>97</v>
      </c>
      <c r="B35" t="s">
        <v>47</v>
      </c>
      <c r="C35" t="s">
        <v>101</v>
      </c>
      <c r="D35" t="s">
        <v>118</v>
      </c>
      <c r="E35" s="2">
        <v>801</v>
      </c>
      <c r="F35" s="3">
        <v>18</v>
      </c>
      <c r="G35" s="4">
        <v>0.2</v>
      </c>
      <c r="H35" s="5">
        <v>0.39</v>
      </c>
      <c r="I35" t="s">
        <v>58</v>
      </c>
      <c r="J35">
        <v>1</v>
      </c>
      <c r="K35">
        <v>1.3</v>
      </c>
      <c r="L35">
        <v>1</v>
      </c>
      <c r="M35" s="4">
        <f>IF(E35&lt;&gt;"",IF(F35&lt;&gt;"",(E35/(F35+1))*J35*K35*L35,""),"")</f>
        <v>54.805263157894736</v>
      </c>
      <c r="N35" t="str">
        <f>IF(M35&lt;&gt;"",IF(M35&gt;150,"Tier 1",IF(M35&gt;50,"Tier 2","Tier 3")),"")</f>
        <v>Tier 2</v>
      </c>
      <c r="O35" t="s">
        <v>119</v>
      </c>
    </row>
    <row r="36" spans="1:15" x14ac:dyDescent="0.25">
      <c r="A36" t="s">
        <v>261</v>
      </c>
      <c r="B36" t="s">
        <v>16</v>
      </c>
      <c r="C36" t="s">
        <v>262</v>
      </c>
      <c r="D36" t="s">
        <v>263</v>
      </c>
      <c r="E36" s="2">
        <v>1239</v>
      </c>
      <c r="F36" s="3">
        <v>24</v>
      </c>
      <c r="G36" s="4">
        <v>0.2</v>
      </c>
      <c r="H36" s="5">
        <v>0.56999999999999995</v>
      </c>
      <c r="I36" t="s">
        <v>63</v>
      </c>
      <c r="J36">
        <v>1</v>
      </c>
      <c r="K36">
        <v>0.8</v>
      </c>
      <c r="L36">
        <v>1.2</v>
      </c>
      <c r="M36" s="4">
        <f>IF(E36&lt;&gt;"",IF(F36&lt;&gt;"",(E36/(F36+1))*J36*K36*L36,""),"")</f>
        <v>47.577600000000004</v>
      </c>
      <c r="N36" t="str">
        <f>IF(M36&lt;&gt;"",IF(M36&gt;150,"Tier 1",IF(M36&gt;50,"Tier 2","Tier 3")),"")</f>
        <v>Tier 3</v>
      </c>
      <c r="O36" t="s">
        <v>264</v>
      </c>
    </row>
    <row r="37" spans="1:15" x14ac:dyDescent="0.25">
      <c r="A37" t="s">
        <v>65</v>
      </c>
      <c r="B37" t="s">
        <v>55</v>
      </c>
      <c r="C37" t="s">
        <v>91</v>
      </c>
      <c r="D37" t="s">
        <v>92</v>
      </c>
      <c r="E37" s="2">
        <v>379</v>
      </c>
      <c r="F37" s="3">
        <v>19</v>
      </c>
      <c r="G37" s="4">
        <v>0.2</v>
      </c>
      <c r="H37" s="5">
        <v>0.77</v>
      </c>
      <c r="I37" t="s">
        <v>19</v>
      </c>
      <c r="J37">
        <v>1</v>
      </c>
      <c r="K37">
        <v>1</v>
      </c>
      <c r="L37">
        <v>0.8</v>
      </c>
      <c r="M37" s="4">
        <f>IF(E37&lt;&gt;"",IF(F37&lt;&gt;"",(E37/(F37+1))*J37*K37*L37,""),"")</f>
        <v>15.16</v>
      </c>
      <c r="N37" t="str">
        <f>IF(M37&lt;&gt;"",IF(M37&gt;150,"Tier 1",IF(M37&gt;50,"Tier 2","Tier 3")),"")</f>
        <v>Tier 3</v>
      </c>
      <c r="O37" t="s">
        <v>93</v>
      </c>
    </row>
    <row r="38" spans="1:15" x14ac:dyDescent="0.25">
      <c r="A38" t="s">
        <v>873</v>
      </c>
      <c r="B38" t="s">
        <v>25</v>
      </c>
      <c r="C38" t="s">
        <v>874</v>
      </c>
      <c r="D38" t="s">
        <v>875</v>
      </c>
      <c r="E38" s="2">
        <v>5473</v>
      </c>
      <c r="F38" s="3">
        <v>25</v>
      </c>
      <c r="G38" s="4">
        <v>0.21</v>
      </c>
      <c r="H38" s="5">
        <v>0.98</v>
      </c>
      <c r="I38" t="s">
        <v>19</v>
      </c>
      <c r="J38">
        <v>1</v>
      </c>
      <c r="K38">
        <v>1</v>
      </c>
      <c r="L38">
        <v>1.2</v>
      </c>
      <c r="M38" s="4">
        <f>IF(E38&lt;&gt;"",IF(F38&lt;&gt;"",(E38/(F38+1))*J38*K38*L38,""),"")</f>
        <v>252.6</v>
      </c>
      <c r="N38" t="str">
        <f>IF(M38&lt;&gt;"",IF(M38&gt;150,"Tier 1",IF(M38&gt;50,"Tier 2","Tier 3")),"")</f>
        <v>Tier 1</v>
      </c>
      <c r="O38" t="s">
        <v>880</v>
      </c>
    </row>
    <row r="39" spans="1:15" x14ac:dyDescent="0.25">
      <c r="A39" t="s">
        <v>615</v>
      </c>
      <c r="B39" t="s">
        <v>47</v>
      </c>
      <c r="C39" t="s">
        <v>619</v>
      </c>
      <c r="D39" t="s">
        <v>636</v>
      </c>
      <c r="E39" s="2">
        <v>1854</v>
      </c>
      <c r="F39" s="3">
        <v>25</v>
      </c>
      <c r="G39" s="4">
        <v>0.21</v>
      </c>
      <c r="H39" s="5">
        <v>0.81</v>
      </c>
      <c r="I39" t="s">
        <v>58</v>
      </c>
      <c r="J39">
        <v>1</v>
      </c>
      <c r="K39">
        <v>1.3</v>
      </c>
      <c r="L39">
        <v>1</v>
      </c>
      <c r="M39" s="4">
        <f>IF(E39&lt;&gt;"",IF(F39&lt;&gt;"",(E39/(F39+1))*J39*K39*L39,""),"")</f>
        <v>92.7</v>
      </c>
      <c r="N39" t="str">
        <f>IF(M39&lt;&gt;"",IF(M39&gt;150,"Tier 1",IF(M39&gt;50,"Tier 2","Tier 3")),"")</f>
        <v>Tier 2</v>
      </c>
      <c r="O39" t="s">
        <v>637</v>
      </c>
    </row>
    <row r="40" spans="1:15" x14ac:dyDescent="0.25">
      <c r="A40" t="s">
        <v>325</v>
      </c>
      <c r="B40" t="s">
        <v>39</v>
      </c>
      <c r="C40" t="s">
        <v>340</v>
      </c>
      <c r="D40" t="s">
        <v>341</v>
      </c>
      <c r="E40" s="2">
        <v>1164</v>
      </c>
      <c r="F40" s="3">
        <v>20</v>
      </c>
      <c r="G40" s="4">
        <v>0.21</v>
      </c>
      <c r="H40" s="5">
        <v>0.56000000000000005</v>
      </c>
      <c r="I40" t="s">
        <v>19</v>
      </c>
      <c r="J40">
        <v>1</v>
      </c>
      <c r="K40">
        <v>1</v>
      </c>
      <c r="L40">
        <v>1</v>
      </c>
      <c r="M40" s="4">
        <f>IF(E40&lt;&gt;"",IF(F40&lt;&gt;"",(E40/(F40+1))*J40*K40*L40,""),"")</f>
        <v>55.428571428571431</v>
      </c>
      <c r="N40" t="str">
        <f>IF(M40&lt;&gt;"",IF(M40&gt;150,"Tier 1",IF(M40&gt;50,"Tier 2","Tier 3")),"")</f>
        <v>Tier 2</v>
      </c>
      <c r="O40" t="s">
        <v>342</v>
      </c>
    </row>
    <row r="41" spans="1:15" x14ac:dyDescent="0.25">
      <c r="A41" t="s">
        <v>293</v>
      </c>
      <c r="B41" t="s">
        <v>39</v>
      </c>
      <c r="C41" t="s">
        <v>308</v>
      </c>
      <c r="D41" t="s">
        <v>309</v>
      </c>
      <c r="E41" s="2">
        <v>992</v>
      </c>
      <c r="F41" s="3">
        <v>26</v>
      </c>
      <c r="G41" s="4">
        <v>0.21</v>
      </c>
      <c r="H41" s="5">
        <v>1.01</v>
      </c>
      <c r="I41" t="s">
        <v>19</v>
      </c>
      <c r="J41">
        <v>1.5</v>
      </c>
      <c r="K41">
        <v>1</v>
      </c>
      <c r="L41">
        <v>1</v>
      </c>
      <c r="M41" s="4">
        <f>IF(E41&lt;&gt;"",IF(F41&lt;&gt;"",(E41/(F41+1))*J41*K41*L41,""),"")</f>
        <v>55.111111111111114</v>
      </c>
      <c r="N41" t="str">
        <f>IF(M41&lt;&gt;"",IF(M41&gt;150,"Tier 1",IF(M41&gt;50,"Tier 2","Tier 3")),"")</f>
        <v>Tier 2</v>
      </c>
      <c r="O41" t="s">
        <v>310</v>
      </c>
    </row>
    <row r="42" spans="1:15" x14ac:dyDescent="0.25">
      <c r="A42" t="s">
        <v>807</v>
      </c>
      <c r="B42" t="s">
        <v>51</v>
      </c>
      <c r="C42" t="s">
        <v>830</v>
      </c>
      <c r="D42" t="s">
        <v>831</v>
      </c>
      <c r="E42" s="2">
        <v>1325</v>
      </c>
      <c r="F42" s="3">
        <v>25</v>
      </c>
      <c r="G42" s="4">
        <v>0.21</v>
      </c>
      <c r="H42" s="5">
        <v>0.71</v>
      </c>
      <c r="I42" t="s">
        <v>58</v>
      </c>
      <c r="J42">
        <v>1</v>
      </c>
      <c r="K42">
        <v>1.3</v>
      </c>
      <c r="L42">
        <v>0.8</v>
      </c>
      <c r="M42" s="4">
        <f>IF(E42&lt;&gt;"",IF(F42&lt;&gt;"",(E42/(F42+1))*J42*K42*L42,""),"")</f>
        <v>53</v>
      </c>
      <c r="N42" t="str">
        <f>IF(M42&lt;&gt;"",IF(M42&gt;150,"Tier 1",IF(M42&gt;50,"Tier 2","Tier 3")),"")</f>
        <v>Tier 2</v>
      </c>
      <c r="O42" t="s">
        <v>832</v>
      </c>
    </row>
    <row r="43" spans="1:15" x14ac:dyDescent="0.25">
      <c r="A43" t="s">
        <v>293</v>
      </c>
      <c r="B43" t="s">
        <v>29</v>
      </c>
      <c r="C43" t="s">
        <v>301</v>
      </c>
      <c r="D43" t="s">
        <v>302</v>
      </c>
      <c r="E43" s="2">
        <v>1254</v>
      </c>
      <c r="F43" s="3">
        <v>23</v>
      </c>
      <c r="G43" s="4">
        <v>0.21</v>
      </c>
      <c r="H43" s="5">
        <v>0.59</v>
      </c>
      <c r="I43" t="s">
        <v>19</v>
      </c>
      <c r="J43">
        <v>1</v>
      </c>
      <c r="K43">
        <v>1</v>
      </c>
      <c r="L43">
        <v>1</v>
      </c>
      <c r="M43" s="4">
        <f>IF(E43&lt;&gt;"",IF(F43&lt;&gt;"",(E43/(F43+1))*J43*K43*L43,""),"")</f>
        <v>52.25</v>
      </c>
      <c r="N43" t="str">
        <f>IF(M43&lt;&gt;"",IF(M43&gt;150,"Tier 1",IF(M43&gt;50,"Tier 2","Tier 3")),"")</f>
        <v>Tier 2</v>
      </c>
      <c r="O43" t="s">
        <v>303</v>
      </c>
    </row>
    <row r="44" spans="1:15" x14ac:dyDescent="0.25">
      <c r="A44" t="s">
        <v>65</v>
      </c>
      <c r="B44" t="s">
        <v>43</v>
      </c>
      <c r="C44" t="s">
        <v>83</v>
      </c>
      <c r="D44" t="s">
        <v>84</v>
      </c>
      <c r="E44" s="2">
        <v>722</v>
      </c>
      <c r="F44" s="3">
        <v>19</v>
      </c>
      <c r="G44" s="4">
        <v>0.21</v>
      </c>
      <c r="H44" s="5">
        <v>0.93</v>
      </c>
      <c r="I44" t="s">
        <v>19</v>
      </c>
      <c r="J44">
        <v>1</v>
      </c>
      <c r="K44">
        <v>1</v>
      </c>
      <c r="L44">
        <v>1</v>
      </c>
      <c r="M44" s="4">
        <f>IF(E44&lt;&gt;"",IF(F44&lt;&gt;"",(E44/(F44+1))*J44*K44*L44,""),"")</f>
        <v>36.1</v>
      </c>
      <c r="N44" t="str">
        <f>IF(M44&lt;&gt;"",IF(M44&gt;150,"Tier 1",IF(M44&gt;50,"Tier 2","Tier 3")),"")</f>
        <v>Tier 3</v>
      </c>
      <c r="O44" t="s">
        <v>85</v>
      </c>
    </row>
    <row r="45" spans="1:15" x14ac:dyDescent="0.25">
      <c r="A45" t="s">
        <v>1101</v>
      </c>
      <c r="B45" t="s">
        <v>55</v>
      </c>
      <c r="C45" t="s">
        <v>1127</v>
      </c>
      <c r="D45" t="s">
        <v>1128</v>
      </c>
      <c r="E45" s="2">
        <v>1278</v>
      </c>
      <c r="F45" s="3">
        <v>24</v>
      </c>
      <c r="G45" s="4">
        <v>0.21</v>
      </c>
      <c r="H45" s="5">
        <v>0.6</v>
      </c>
      <c r="I45" t="s">
        <v>63</v>
      </c>
      <c r="J45">
        <v>1</v>
      </c>
      <c r="K45">
        <v>0.8</v>
      </c>
      <c r="L45">
        <v>0.8</v>
      </c>
      <c r="M45" s="4">
        <f>IF(E45&lt;&gt;"",IF(F45&lt;&gt;"",(E45/(F45+1))*J45*K45*L45,""),"")</f>
        <v>32.716799999999999</v>
      </c>
      <c r="N45" t="str">
        <f>IF(M45&lt;&gt;"",IF(M45&gt;150,"Tier 1",IF(M45&gt;50,"Tier 2","Tier 3")),"")</f>
        <v>Tier 3</v>
      </c>
      <c r="O45" t="s">
        <v>1129</v>
      </c>
    </row>
    <row r="46" spans="1:15" x14ac:dyDescent="0.25">
      <c r="A46" t="s">
        <v>97</v>
      </c>
      <c r="B46" t="s">
        <v>55</v>
      </c>
      <c r="C46" t="s">
        <v>123</v>
      </c>
      <c r="D46" t="s">
        <v>124</v>
      </c>
      <c r="E46" s="2">
        <v>385</v>
      </c>
      <c r="F46" s="3">
        <v>23</v>
      </c>
      <c r="G46" s="4">
        <v>0.21</v>
      </c>
      <c r="H46" s="5">
        <v>0.33</v>
      </c>
      <c r="I46" t="s">
        <v>19</v>
      </c>
      <c r="J46">
        <v>1</v>
      </c>
      <c r="K46">
        <v>1</v>
      </c>
      <c r="L46">
        <v>0.8</v>
      </c>
      <c r="M46" s="4">
        <f>IF(E46&lt;&gt;"",IF(F46&lt;&gt;"",(E46/(F46+1))*J46*K46*L46,""),"")</f>
        <v>12.833333333333336</v>
      </c>
      <c r="N46" t="str">
        <f>IF(M46&lt;&gt;"",IF(M46&gt;150,"Tier 1",IF(M46&gt;50,"Tier 2","Tier 3")),"")</f>
        <v>Tier 3</v>
      </c>
      <c r="O46" t="s">
        <v>125</v>
      </c>
    </row>
    <row r="47" spans="1:15" x14ac:dyDescent="0.25">
      <c r="A47" t="s">
        <v>293</v>
      </c>
      <c r="B47" t="s">
        <v>55</v>
      </c>
      <c r="C47" t="s">
        <v>319</v>
      </c>
      <c r="D47" t="s">
        <v>320</v>
      </c>
      <c r="E47" s="2">
        <v>384</v>
      </c>
      <c r="F47" s="3">
        <v>23</v>
      </c>
      <c r="G47" s="4">
        <v>0.21</v>
      </c>
      <c r="H47" s="5">
        <v>0.82</v>
      </c>
      <c r="I47" t="s">
        <v>19</v>
      </c>
      <c r="J47">
        <v>1</v>
      </c>
      <c r="K47">
        <v>1</v>
      </c>
      <c r="L47">
        <v>0.8</v>
      </c>
      <c r="M47" s="4">
        <f>IF(E47&lt;&gt;"",IF(F47&lt;&gt;"",(E47/(F47+1))*J47*K47*L47,""),"")</f>
        <v>12.8</v>
      </c>
      <c r="N47" t="str">
        <f>IF(M47&lt;&gt;"",IF(M47&gt;150,"Tier 1",IF(M47&gt;50,"Tier 2","Tier 3")),"")</f>
        <v>Tier 3</v>
      </c>
      <c r="O47" t="s">
        <v>321</v>
      </c>
    </row>
    <row r="48" spans="1:15" x14ac:dyDescent="0.25">
      <c r="A48" t="s">
        <v>455</v>
      </c>
      <c r="B48" t="s">
        <v>35</v>
      </c>
      <c r="C48" t="s">
        <v>467</v>
      </c>
      <c r="D48" t="s">
        <v>468</v>
      </c>
      <c r="E48" s="2">
        <v>4759</v>
      </c>
      <c r="F48" s="3">
        <v>24</v>
      </c>
      <c r="G48" s="4">
        <v>0.22</v>
      </c>
      <c r="H48" s="5">
        <v>0.41</v>
      </c>
      <c r="I48" t="s">
        <v>19</v>
      </c>
      <c r="J48">
        <v>1</v>
      </c>
      <c r="K48">
        <v>1</v>
      </c>
      <c r="L48">
        <v>1</v>
      </c>
      <c r="M48" s="4">
        <f>IF(E48&lt;&gt;"",IF(F48&lt;&gt;"",(E48/(F48+1))*J48*K48*L48,""),"")</f>
        <v>190.36</v>
      </c>
      <c r="N48" t="str">
        <f>IF(M48&lt;&gt;"",IF(M48&gt;150,"Tier 1",IF(M48&gt;50,"Tier 2","Tier 3")),"")</f>
        <v>Tier 1</v>
      </c>
      <c r="O48" t="s">
        <v>469</v>
      </c>
    </row>
    <row r="49" spans="1:15" x14ac:dyDescent="0.25">
      <c r="A49" t="s">
        <v>325</v>
      </c>
      <c r="B49" t="s">
        <v>25</v>
      </c>
      <c r="C49" t="s">
        <v>326</v>
      </c>
      <c r="D49" t="s">
        <v>327</v>
      </c>
      <c r="E49" s="2">
        <v>1837</v>
      </c>
      <c r="F49" s="3">
        <v>25</v>
      </c>
      <c r="G49" s="4">
        <v>0.22</v>
      </c>
      <c r="H49" s="5">
        <v>0.6</v>
      </c>
      <c r="I49" t="s">
        <v>58</v>
      </c>
      <c r="J49">
        <v>1</v>
      </c>
      <c r="K49">
        <v>1.3</v>
      </c>
      <c r="L49">
        <v>1.2</v>
      </c>
      <c r="M49" s="4">
        <f>IF(E49&lt;&gt;"",IF(F49&lt;&gt;"",(E49/(F49+1))*J49*K49*L49,""),"")</f>
        <v>110.22000000000001</v>
      </c>
      <c r="N49" t="str">
        <f>IF(M49&lt;&gt;"",IF(M49&gt;150,"Tier 1",IF(M49&gt;50,"Tier 2","Tier 3")),"")</f>
        <v>Tier 2</v>
      </c>
      <c r="O49" t="s">
        <v>332</v>
      </c>
    </row>
    <row r="50" spans="1:15" x14ac:dyDescent="0.25">
      <c r="A50" t="s">
        <v>615</v>
      </c>
      <c r="B50" t="s">
        <v>51</v>
      </c>
      <c r="C50" t="s">
        <v>638</v>
      </c>
      <c r="D50" t="s">
        <v>639</v>
      </c>
      <c r="E50" s="2">
        <v>2587</v>
      </c>
      <c r="F50" s="3">
        <v>25</v>
      </c>
      <c r="G50" s="4">
        <v>0.22</v>
      </c>
      <c r="H50" s="5">
        <v>0.63</v>
      </c>
      <c r="I50" t="s">
        <v>58</v>
      </c>
      <c r="J50">
        <v>1</v>
      </c>
      <c r="K50">
        <v>1.3</v>
      </c>
      <c r="L50">
        <v>0.8</v>
      </c>
      <c r="M50" s="4">
        <f>IF(E50&lt;&gt;"",IF(F50&lt;&gt;"",(E50/(F50+1))*J50*K50*L50,""),"")</f>
        <v>103.48</v>
      </c>
      <c r="N50" t="str">
        <f>IF(M50&lt;&gt;"",IF(M50&gt;150,"Tier 1",IF(M50&gt;50,"Tier 2","Tier 3")),"")</f>
        <v>Tier 2</v>
      </c>
      <c r="O50" t="s">
        <v>640</v>
      </c>
    </row>
    <row r="51" spans="1:15" x14ac:dyDescent="0.25">
      <c r="A51" t="s">
        <v>941</v>
      </c>
      <c r="B51" t="s">
        <v>35</v>
      </c>
      <c r="C51" t="s">
        <v>953</v>
      </c>
      <c r="D51" t="s">
        <v>954</v>
      </c>
      <c r="E51" s="2">
        <v>2764</v>
      </c>
      <c r="F51" s="3">
        <v>26</v>
      </c>
      <c r="G51" s="4">
        <v>0.22</v>
      </c>
      <c r="H51" s="5">
        <v>0.79</v>
      </c>
      <c r="I51" t="s">
        <v>19</v>
      </c>
      <c r="J51">
        <v>1</v>
      </c>
      <c r="K51">
        <v>1</v>
      </c>
      <c r="L51">
        <v>1</v>
      </c>
      <c r="M51" s="4">
        <f>IF(E51&lt;&gt;"",IF(F51&lt;&gt;"",(E51/(F51+1))*J51*K51*L51,""),"")</f>
        <v>102.37037037037037</v>
      </c>
      <c r="N51" t="str">
        <f>IF(M51&lt;&gt;"",IF(M51&gt;150,"Tier 1",IF(M51&gt;50,"Tier 2","Tier 3")),"")</f>
        <v>Tier 2</v>
      </c>
      <c r="O51" t="s">
        <v>955</v>
      </c>
    </row>
    <row r="52" spans="1:15" x14ac:dyDescent="0.25">
      <c r="A52" t="s">
        <v>973</v>
      </c>
      <c r="B52" t="s">
        <v>51</v>
      </c>
      <c r="C52" t="s">
        <v>996</v>
      </c>
      <c r="D52" t="s">
        <v>997</v>
      </c>
      <c r="E52" s="2">
        <v>1391</v>
      </c>
      <c r="F52" s="3">
        <v>24</v>
      </c>
      <c r="G52" s="4">
        <v>0.22</v>
      </c>
      <c r="H52" s="5">
        <v>0.9</v>
      </c>
      <c r="I52" t="s">
        <v>58</v>
      </c>
      <c r="J52">
        <v>1</v>
      </c>
      <c r="K52">
        <v>1.3</v>
      </c>
      <c r="L52">
        <v>0.8</v>
      </c>
      <c r="M52" s="4">
        <f>IF(E52&lt;&gt;"",IF(F52&lt;&gt;"",(E52/(F52+1))*J52*K52*L52,""),"")</f>
        <v>57.865600000000008</v>
      </c>
      <c r="N52" t="str">
        <f>IF(M52&lt;&gt;"",IF(M52&gt;150,"Tier 1",IF(M52&gt;50,"Tier 2","Tier 3")),"")</f>
        <v>Tier 2</v>
      </c>
      <c r="O52" t="s">
        <v>998</v>
      </c>
    </row>
    <row r="53" spans="1:15" x14ac:dyDescent="0.25">
      <c r="A53" t="s">
        <v>97</v>
      </c>
      <c r="B53" t="s">
        <v>29</v>
      </c>
      <c r="C53" t="s">
        <v>105</v>
      </c>
      <c r="D53" t="s">
        <v>106</v>
      </c>
      <c r="E53" s="2">
        <v>1519</v>
      </c>
      <c r="F53" s="3">
        <v>24</v>
      </c>
      <c r="G53" s="4">
        <v>0.22</v>
      </c>
      <c r="H53" s="5">
        <v>0.26</v>
      </c>
      <c r="I53" t="s">
        <v>63</v>
      </c>
      <c r="J53">
        <v>1</v>
      </c>
      <c r="K53">
        <v>0.8</v>
      </c>
      <c r="L53">
        <v>1</v>
      </c>
      <c r="M53" s="4">
        <f>IF(E53&lt;&gt;"",IF(F53&lt;&gt;"",(E53/(F53+1))*J53*K53*L53,""),"")</f>
        <v>48.608000000000004</v>
      </c>
      <c r="N53" t="str">
        <f>IF(M53&lt;&gt;"",IF(M53&gt;150,"Tier 1",IF(M53&gt;50,"Tier 2","Tier 3")),"")</f>
        <v>Tier 3</v>
      </c>
      <c r="O53" t="s">
        <v>107</v>
      </c>
    </row>
    <row r="54" spans="1:15" x14ac:dyDescent="0.25">
      <c r="A54" t="s">
        <v>261</v>
      </c>
      <c r="B54" t="s">
        <v>29</v>
      </c>
      <c r="C54" t="s">
        <v>269</v>
      </c>
      <c r="D54" t="s">
        <v>270</v>
      </c>
      <c r="E54" s="2">
        <v>766</v>
      </c>
      <c r="F54" s="3">
        <v>23</v>
      </c>
      <c r="G54" s="4">
        <v>0.22</v>
      </c>
      <c r="H54" s="5">
        <v>0.49</v>
      </c>
      <c r="I54" t="s">
        <v>19</v>
      </c>
      <c r="J54">
        <v>1</v>
      </c>
      <c r="K54">
        <v>1</v>
      </c>
      <c r="L54">
        <v>1</v>
      </c>
      <c r="M54" s="4">
        <f>IF(E54&lt;&gt;"",IF(F54&lt;&gt;"",(E54/(F54+1))*J54*K54*L54,""),"")</f>
        <v>31.916666666666668</v>
      </c>
      <c r="N54" t="str">
        <f>IF(M54&lt;&gt;"",IF(M54&gt;150,"Tier 1",IF(M54&gt;50,"Tier 2","Tier 3")),"")</f>
        <v>Tier 3</v>
      </c>
      <c r="O54" t="s">
        <v>271</v>
      </c>
    </row>
    <row r="55" spans="1:15" x14ac:dyDescent="0.25">
      <c r="A55" t="s">
        <v>261</v>
      </c>
      <c r="B55" t="s">
        <v>47</v>
      </c>
      <c r="C55" t="s">
        <v>265</v>
      </c>
      <c r="D55" t="s">
        <v>282</v>
      </c>
      <c r="E55" s="2">
        <v>479</v>
      </c>
      <c r="F55" s="3">
        <v>22</v>
      </c>
      <c r="G55" s="4">
        <v>0.22</v>
      </c>
      <c r="H55" s="5">
        <v>0.5</v>
      </c>
      <c r="I55" t="s">
        <v>58</v>
      </c>
      <c r="J55">
        <v>1</v>
      </c>
      <c r="K55">
        <v>1.3</v>
      </c>
      <c r="L55">
        <v>1</v>
      </c>
      <c r="M55" s="4">
        <f>IF(E55&lt;&gt;"",IF(F55&lt;&gt;"",(E55/(F55+1))*J55*K55*L55,""),"")</f>
        <v>27.07391304347826</v>
      </c>
      <c r="N55" t="str">
        <f>IF(M55&lt;&gt;"",IF(M55&gt;150,"Tier 1",IF(M55&gt;50,"Tier 2","Tier 3")),"")</f>
        <v>Tier 3</v>
      </c>
      <c r="O55" t="s">
        <v>283</v>
      </c>
    </row>
    <row r="56" spans="1:15" x14ac:dyDescent="0.25">
      <c r="A56" t="s">
        <v>1101</v>
      </c>
      <c r="B56" t="s">
        <v>21</v>
      </c>
      <c r="C56" t="s">
        <v>1105</v>
      </c>
      <c r="D56" t="s">
        <v>1106</v>
      </c>
      <c r="E56" s="2">
        <v>8122</v>
      </c>
      <c r="F56" s="3">
        <v>20</v>
      </c>
      <c r="G56" s="4">
        <v>0.23</v>
      </c>
      <c r="H56" s="5">
        <v>0.31</v>
      </c>
      <c r="I56" t="s">
        <v>58</v>
      </c>
      <c r="J56">
        <v>1</v>
      </c>
      <c r="K56">
        <v>1.3</v>
      </c>
      <c r="L56">
        <v>1.2</v>
      </c>
      <c r="M56" s="4">
        <f>IF(E56&lt;&gt;"",IF(F56&lt;&gt;"",(E56/(F56+1))*J56*K56*L56,""),"")</f>
        <v>603.3485714285714</v>
      </c>
      <c r="N56" t="str">
        <f>IF(M56&lt;&gt;"",IF(M56&gt;150,"Tier 1",IF(M56&gt;50,"Tier 2","Tier 3")),"")</f>
        <v>Tier 1</v>
      </c>
      <c r="O56" t="s">
        <v>1107</v>
      </c>
    </row>
    <row r="57" spans="1:15" x14ac:dyDescent="0.25">
      <c r="A57" t="s">
        <v>455</v>
      </c>
      <c r="B57" t="s">
        <v>33</v>
      </c>
      <c r="C57" t="s">
        <v>459</v>
      </c>
      <c r="D57" t="s">
        <v>460</v>
      </c>
      <c r="E57" s="2">
        <v>7182</v>
      </c>
      <c r="F57" s="3">
        <v>23</v>
      </c>
      <c r="G57" s="4">
        <v>0.23</v>
      </c>
      <c r="H57" s="5">
        <v>0.32</v>
      </c>
      <c r="I57" t="s">
        <v>19</v>
      </c>
      <c r="J57">
        <v>1</v>
      </c>
      <c r="K57">
        <v>1</v>
      </c>
      <c r="L57">
        <v>1.2</v>
      </c>
      <c r="M57" s="4">
        <f>IF(E57&lt;&gt;"",IF(F57&lt;&gt;"",(E57/(F57+1))*J57*K57*L57,""),"")</f>
        <v>359.09999999999997</v>
      </c>
      <c r="N57" t="str">
        <f>IF(M57&lt;&gt;"",IF(M57&gt;150,"Tier 1",IF(M57&gt;50,"Tier 2","Tier 3")),"")</f>
        <v>Tier 1</v>
      </c>
      <c r="O57" t="s">
        <v>466</v>
      </c>
    </row>
    <row r="58" spans="1:15" x14ac:dyDescent="0.25">
      <c r="A58" t="s">
        <v>1101</v>
      </c>
      <c r="B58" t="s">
        <v>25</v>
      </c>
      <c r="C58" t="s">
        <v>1102</v>
      </c>
      <c r="D58" t="s">
        <v>1103</v>
      </c>
      <c r="E58" s="2">
        <v>5975</v>
      </c>
      <c r="F58" s="3">
        <v>20</v>
      </c>
      <c r="G58" s="4">
        <v>0.23</v>
      </c>
      <c r="H58" s="5">
        <v>0.68</v>
      </c>
      <c r="I58" t="s">
        <v>63</v>
      </c>
      <c r="J58">
        <v>1</v>
      </c>
      <c r="K58">
        <v>0.8</v>
      </c>
      <c r="L58">
        <v>1.2</v>
      </c>
      <c r="M58" s="4">
        <f>IF(E58&lt;&gt;"",IF(F58&lt;&gt;"",(E58/(F58+1))*J58*K58*L58,""),"")</f>
        <v>273.14285714285711</v>
      </c>
      <c r="N58" t="str">
        <f>IF(M58&lt;&gt;"",IF(M58&gt;150,"Tier 1",IF(M58&gt;50,"Tier 2","Tier 3")),"")</f>
        <v>Tier 1</v>
      </c>
      <c r="O58" t="s">
        <v>1108</v>
      </c>
    </row>
    <row r="59" spans="1:15" x14ac:dyDescent="0.25">
      <c r="A59" t="s">
        <v>455</v>
      </c>
      <c r="B59" t="s">
        <v>29</v>
      </c>
      <c r="C59" t="s">
        <v>463</v>
      </c>
      <c r="D59" t="s">
        <v>464</v>
      </c>
      <c r="E59" s="2">
        <v>5645</v>
      </c>
      <c r="F59" s="3">
        <v>26</v>
      </c>
      <c r="G59" s="4">
        <v>0.23</v>
      </c>
      <c r="H59" s="5">
        <v>0.38</v>
      </c>
      <c r="I59" t="s">
        <v>58</v>
      </c>
      <c r="J59">
        <v>1</v>
      </c>
      <c r="K59">
        <v>1.3</v>
      </c>
      <c r="L59">
        <v>1</v>
      </c>
      <c r="M59" s="4">
        <f>IF(E59&lt;&gt;"",IF(F59&lt;&gt;"",(E59/(F59+1))*J59*K59*L59,""),"")</f>
        <v>271.7962962962963</v>
      </c>
      <c r="N59" t="str">
        <f>IF(M59&lt;&gt;"",IF(M59&gt;150,"Tier 1",IF(M59&gt;50,"Tier 2","Tier 3")),"")</f>
        <v>Tier 1</v>
      </c>
      <c r="O59" t="s">
        <v>465</v>
      </c>
    </row>
    <row r="60" spans="1:15" x14ac:dyDescent="0.25">
      <c r="A60" t="s">
        <v>1037</v>
      </c>
      <c r="B60" t="s">
        <v>25</v>
      </c>
      <c r="C60" t="s">
        <v>1038</v>
      </c>
      <c r="D60" t="s">
        <v>1039</v>
      </c>
      <c r="E60" s="2">
        <v>3718</v>
      </c>
      <c r="F60" s="3">
        <v>22</v>
      </c>
      <c r="G60" s="4">
        <v>0.23</v>
      </c>
      <c r="H60" s="5">
        <v>0.63</v>
      </c>
      <c r="I60" t="s">
        <v>58</v>
      </c>
      <c r="J60">
        <v>1</v>
      </c>
      <c r="K60">
        <v>1.3</v>
      </c>
      <c r="L60">
        <v>1.2</v>
      </c>
      <c r="M60" s="4">
        <f>IF(E60&lt;&gt;"",IF(F60&lt;&gt;"",(E60/(F60+1))*J60*K60*L60,""),"")</f>
        <v>252.17739130434779</v>
      </c>
      <c r="N60" t="str">
        <f>IF(M60&lt;&gt;"",IF(M60&gt;150,"Tier 1",IF(M60&gt;50,"Tier 2","Tier 3")),"")</f>
        <v>Tier 1</v>
      </c>
      <c r="O60" t="s">
        <v>1044</v>
      </c>
    </row>
    <row r="61" spans="1:15" x14ac:dyDescent="0.25">
      <c r="A61" t="s">
        <v>807</v>
      </c>
      <c r="B61" t="s">
        <v>21</v>
      </c>
      <c r="C61" t="s">
        <v>811</v>
      </c>
      <c r="D61" t="s">
        <v>812</v>
      </c>
      <c r="E61" s="2">
        <v>4327</v>
      </c>
      <c r="F61" s="3">
        <v>21</v>
      </c>
      <c r="G61" s="4">
        <v>0.23</v>
      </c>
      <c r="H61" s="5">
        <v>0.37</v>
      </c>
      <c r="I61" t="s">
        <v>19</v>
      </c>
      <c r="J61">
        <v>1</v>
      </c>
      <c r="K61">
        <v>1</v>
      </c>
      <c r="L61">
        <v>1.2</v>
      </c>
      <c r="M61" s="4">
        <f>IF(E61&lt;&gt;"",IF(F61&lt;&gt;"",(E61/(F61+1))*J61*K61*L61,""),"")</f>
        <v>236.0181818181818</v>
      </c>
      <c r="N61" t="str">
        <f>IF(M61&lt;&gt;"",IF(M61&gt;150,"Tier 1",IF(M61&gt;50,"Tier 2","Tier 3")),"")</f>
        <v>Tier 1</v>
      </c>
      <c r="O61" t="s">
        <v>813</v>
      </c>
    </row>
    <row r="62" spans="1:15" x14ac:dyDescent="0.25">
      <c r="A62" t="s">
        <v>973</v>
      </c>
      <c r="B62" t="s">
        <v>16</v>
      </c>
      <c r="C62" t="s">
        <v>974</v>
      </c>
      <c r="D62" t="s">
        <v>975</v>
      </c>
      <c r="E62" s="2">
        <v>3827</v>
      </c>
      <c r="F62" s="3">
        <v>26</v>
      </c>
      <c r="G62" s="4">
        <v>0.23</v>
      </c>
      <c r="H62" s="5">
        <v>1.06</v>
      </c>
      <c r="I62" t="s">
        <v>63</v>
      </c>
      <c r="J62">
        <v>1.5</v>
      </c>
      <c r="K62">
        <v>0.8</v>
      </c>
      <c r="L62">
        <v>1.2</v>
      </c>
      <c r="M62" s="4">
        <f>IF(E62&lt;&gt;"",IF(F62&lt;&gt;"",(E62/(F62+1))*J62*K62*L62,""),"")</f>
        <v>204.10666666666665</v>
      </c>
      <c r="N62" t="str">
        <f>IF(M62&lt;&gt;"",IF(M62&gt;150,"Tier 1",IF(M62&gt;50,"Tier 2","Tier 3")),"")</f>
        <v>Tier 1</v>
      </c>
      <c r="O62" t="s">
        <v>976</v>
      </c>
    </row>
    <row r="63" spans="1:15" x14ac:dyDescent="0.25">
      <c r="A63" t="s">
        <v>873</v>
      </c>
      <c r="B63" t="s">
        <v>39</v>
      </c>
      <c r="C63" t="s">
        <v>888</v>
      </c>
      <c r="D63" t="s">
        <v>889</v>
      </c>
      <c r="E63" s="2">
        <v>4029</v>
      </c>
      <c r="F63" s="3">
        <v>27</v>
      </c>
      <c r="G63" s="4">
        <v>0.23</v>
      </c>
      <c r="H63" s="5">
        <v>0.75</v>
      </c>
      <c r="I63" t="s">
        <v>58</v>
      </c>
      <c r="J63">
        <v>1</v>
      </c>
      <c r="K63">
        <v>1.3</v>
      </c>
      <c r="L63">
        <v>1</v>
      </c>
      <c r="M63" s="4">
        <f>IF(E63&lt;&gt;"",IF(F63&lt;&gt;"",(E63/(F63+1))*J63*K63*L63,""),"")</f>
        <v>187.06071428571428</v>
      </c>
      <c r="N63" t="str">
        <f>IF(M63&lt;&gt;"",IF(M63&gt;150,"Tier 1",IF(M63&gt;50,"Tier 2","Tier 3")),"")</f>
        <v>Tier 1</v>
      </c>
      <c r="O63" t="s">
        <v>890</v>
      </c>
    </row>
    <row r="64" spans="1:15" x14ac:dyDescent="0.25">
      <c r="A64" t="s">
        <v>97</v>
      </c>
      <c r="B64" t="s">
        <v>21</v>
      </c>
      <c r="C64" t="s">
        <v>101</v>
      </c>
      <c r="D64" t="s">
        <v>102</v>
      </c>
      <c r="E64" s="2">
        <v>3034</v>
      </c>
      <c r="F64" s="3">
        <v>25</v>
      </c>
      <c r="G64" s="4">
        <v>0.23</v>
      </c>
      <c r="H64" s="5">
        <v>0.47</v>
      </c>
      <c r="I64" t="s">
        <v>58</v>
      </c>
      <c r="J64">
        <v>1</v>
      </c>
      <c r="K64">
        <v>1.3</v>
      </c>
      <c r="L64">
        <v>1.2</v>
      </c>
      <c r="M64" s="4">
        <f>IF(E64&lt;&gt;"",IF(F64&lt;&gt;"",(E64/(F64+1))*J64*K64*L64,""),"")</f>
        <v>182.04000000000002</v>
      </c>
      <c r="N64" t="str">
        <f>IF(M64&lt;&gt;"",IF(M64&gt;150,"Tier 1",IF(M64&gt;50,"Tier 2","Tier 3")),"")</f>
        <v>Tier 1</v>
      </c>
      <c r="O64" t="s">
        <v>103</v>
      </c>
    </row>
    <row r="65" spans="1:16" x14ac:dyDescent="0.25">
      <c r="A65" t="s">
        <v>1101</v>
      </c>
      <c r="B65" t="s">
        <v>43</v>
      </c>
      <c r="C65" t="s">
        <v>1119</v>
      </c>
      <c r="D65" t="s">
        <v>1120</v>
      </c>
      <c r="E65" s="2">
        <v>2853</v>
      </c>
      <c r="F65" s="3">
        <v>22</v>
      </c>
      <c r="G65" s="4">
        <v>0.23</v>
      </c>
      <c r="H65" s="5">
        <v>0.6</v>
      </c>
      <c r="I65" t="s">
        <v>19</v>
      </c>
      <c r="J65">
        <v>1</v>
      </c>
      <c r="K65">
        <v>1</v>
      </c>
      <c r="L65">
        <v>1</v>
      </c>
      <c r="M65" s="4">
        <f>IF(E65&lt;&gt;"",IF(F65&lt;&gt;"",(E65/(F65+1))*J65*K65*L65,""),"")</f>
        <v>124.04347826086956</v>
      </c>
      <c r="N65" t="str">
        <f>IF(M65&lt;&gt;"",IF(M65&gt;150,"Tier 1",IF(M65&gt;50,"Tier 2","Tier 3")),"")</f>
        <v>Tier 2</v>
      </c>
      <c r="O65" t="s">
        <v>1121</v>
      </c>
    </row>
    <row r="66" spans="1:16" x14ac:dyDescent="0.25">
      <c r="A66" t="s">
        <v>325</v>
      </c>
      <c r="B66" t="s">
        <v>16</v>
      </c>
      <c r="C66" t="s">
        <v>326</v>
      </c>
      <c r="D66" t="s">
        <v>327</v>
      </c>
      <c r="E66" s="2">
        <v>2677</v>
      </c>
      <c r="F66" s="3">
        <v>28</v>
      </c>
      <c r="G66" s="4">
        <v>0.23</v>
      </c>
      <c r="H66" s="5">
        <v>0.63</v>
      </c>
      <c r="I66" t="s">
        <v>19</v>
      </c>
      <c r="J66">
        <v>1</v>
      </c>
      <c r="K66">
        <v>1</v>
      </c>
      <c r="L66">
        <v>1.2</v>
      </c>
      <c r="M66" s="4">
        <f>IF(E66&lt;&gt;"",IF(F66&lt;&gt;"",(E66/(F66+1))*J66*K66*L66,""),"")</f>
        <v>110.77241379310344</v>
      </c>
      <c r="N66" t="str">
        <f>IF(M66&lt;&gt;"",IF(M66&gt;150,"Tier 1",IF(M66&gt;50,"Tier 2","Tier 3")),"")</f>
        <v>Tier 2</v>
      </c>
      <c r="O66" t="s">
        <v>328</v>
      </c>
    </row>
    <row r="67" spans="1:16" x14ac:dyDescent="0.25">
      <c r="A67" t="s">
        <v>743</v>
      </c>
      <c r="B67" t="s">
        <v>33</v>
      </c>
      <c r="C67" t="s">
        <v>747</v>
      </c>
      <c r="D67" t="s">
        <v>748</v>
      </c>
      <c r="E67" s="2">
        <v>2465</v>
      </c>
      <c r="F67" s="3">
        <v>27</v>
      </c>
      <c r="G67" s="4">
        <v>0.23</v>
      </c>
      <c r="H67" s="5">
        <v>0.64</v>
      </c>
      <c r="I67" t="s">
        <v>19</v>
      </c>
      <c r="J67">
        <v>1</v>
      </c>
      <c r="K67">
        <v>1</v>
      </c>
      <c r="L67">
        <v>1.2</v>
      </c>
      <c r="M67" s="4">
        <f>IF(E67&lt;&gt;"",IF(F67&lt;&gt;"",(E67/(F67+1))*J67*K67*L67,""),"")</f>
        <v>105.64285714285715</v>
      </c>
      <c r="N67" t="str">
        <f>IF(M67&lt;&gt;"",IF(M67&gt;150,"Tier 1",IF(M67&gt;50,"Tier 2","Tier 3")),"")</f>
        <v>Tier 2</v>
      </c>
      <c r="O67" t="s">
        <v>754</v>
      </c>
    </row>
    <row r="68" spans="1:16" x14ac:dyDescent="0.25">
      <c r="A68" t="s">
        <v>65</v>
      </c>
      <c r="B68" t="s">
        <v>35</v>
      </c>
      <c r="C68" t="s">
        <v>77</v>
      </c>
      <c r="D68" t="s">
        <v>78</v>
      </c>
      <c r="E68" s="2">
        <v>1003</v>
      </c>
      <c r="F68" s="3">
        <v>21</v>
      </c>
      <c r="G68" s="4">
        <v>0.23</v>
      </c>
      <c r="H68" s="5">
        <v>0.77</v>
      </c>
      <c r="I68" t="s">
        <v>58</v>
      </c>
      <c r="J68">
        <v>1</v>
      </c>
      <c r="K68">
        <v>1.3</v>
      </c>
      <c r="L68">
        <v>1</v>
      </c>
      <c r="M68" s="4">
        <f>IF(E68&lt;&gt;"",IF(F68&lt;&gt;"",(E68/(F68+1))*J68*K68*L68,""),"")</f>
        <v>59.268181818181823</v>
      </c>
      <c r="N68" t="str">
        <f>IF(M68&lt;&gt;"",IF(M68&gt;150,"Tier 1",IF(M68&gt;50,"Tier 2","Tier 3")),"")</f>
        <v>Tier 2</v>
      </c>
      <c r="O68" t="s">
        <v>79</v>
      </c>
    </row>
    <row r="69" spans="1:16" x14ac:dyDescent="0.25">
      <c r="A69" t="s">
        <v>97</v>
      </c>
      <c r="B69" t="s">
        <v>25</v>
      </c>
      <c r="C69" t="s">
        <v>98</v>
      </c>
      <c r="D69" t="s">
        <v>99</v>
      </c>
      <c r="E69" s="2">
        <v>1478</v>
      </c>
      <c r="F69" s="3">
        <v>27</v>
      </c>
      <c r="G69" s="4">
        <v>0.23</v>
      </c>
      <c r="H69" s="5">
        <v>0.57999999999999996</v>
      </c>
      <c r="I69" t="s">
        <v>63</v>
      </c>
      <c r="J69">
        <v>1</v>
      </c>
      <c r="K69">
        <v>0.8</v>
      </c>
      <c r="L69">
        <v>1.2</v>
      </c>
      <c r="M69" s="4">
        <f>IF(E69&lt;&gt;"",IF(F69&lt;&gt;"",(E69/(F69+1))*J69*K69*L69,""),"")</f>
        <v>50.674285714285709</v>
      </c>
      <c r="N69" t="str">
        <f>IF(M69&lt;&gt;"",IF(M69&gt;150,"Tier 1",IF(M69&gt;50,"Tier 2","Tier 3")),"")</f>
        <v>Tier 2</v>
      </c>
      <c r="O69" t="s">
        <v>104</v>
      </c>
    </row>
    <row r="70" spans="1:16" x14ac:dyDescent="0.25">
      <c r="A70" t="s">
        <v>293</v>
      </c>
      <c r="B70" t="s">
        <v>43</v>
      </c>
      <c r="C70" t="s">
        <v>311</v>
      </c>
      <c r="D70" t="s">
        <v>312</v>
      </c>
      <c r="E70" s="2">
        <v>907</v>
      </c>
      <c r="F70" s="3">
        <v>20</v>
      </c>
      <c r="G70" s="4">
        <v>0.23</v>
      </c>
      <c r="H70" s="5">
        <v>0.97</v>
      </c>
      <c r="I70" t="s">
        <v>19</v>
      </c>
      <c r="J70">
        <v>1</v>
      </c>
      <c r="K70">
        <v>1</v>
      </c>
      <c r="L70">
        <v>1</v>
      </c>
      <c r="M70" s="4">
        <f>IF(E70&lt;&gt;"",IF(F70&lt;&gt;"",(E70/(F70+1))*J70*K70*L70,""),"")</f>
        <v>43.19047619047619</v>
      </c>
      <c r="N70" t="str">
        <f>IF(M70&lt;&gt;"",IF(M70&gt;150,"Tier 1",IF(M70&gt;50,"Tier 2","Tier 3")),"")</f>
        <v>Tier 3</v>
      </c>
      <c r="O70" t="s">
        <v>313</v>
      </c>
    </row>
    <row r="71" spans="1:16" x14ac:dyDescent="0.25">
      <c r="A71" t="s">
        <v>197</v>
      </c>
      <c r="B71" t="s">
        <v>51</v>
      </c>
      <c r="C71" t="s">
        <v>220</v>
      </c>
      <c r="D71" t="s">
        <v>221</v>
      </c>
      <c r="E71" s="2">
        <v>1166</v>
      </c>
      <c r="F71" s="3">
        <v>21</v>
      </c>
      <c r="G71" s="4">
        <v>0.23</v>
      </c>
      <c r="H71" s="5">
        <v>0.48</v>
      </c>
      <c r="I71" t="s">
        <v>19</v>
      </c>
      <c r="J71">
        <v>1</v>
      </c>
      <c r="K71">
        <v>1</v>
      </c>
      <c r="L71">
        <v>0.8</v>
      </c>
      <c r="M71" s="4">
        <f>IF(E71&lt;&gt;"",IF(F71&lt;&gt;"",(E71/(F71+1))*J71*K71*L71,""),"")</f>
        <v>42.400000000000006</v>
      </c>
      <c r="N71" t="str">
        <f>IF(M71&lt;&gt;"",IF(M71&gt;150,"Tier 1",IF(M71&gt;50,"Tier 2","Tier 3")),"")</f>
        <v>Tier 3</v>
      </c>
      <c r="O71" t="s">
        <v>222</v>
      </c>
    </row>
    <row r="72" spans="1:16" x14ac:dyDescent="0.25">
      <c r="A72" t="s">
        <v>325</v>
      </c>
      <c r="B72" t="s">
        <v>43</v>
      </c>
      <c r="C72" t="s">
        <v>343</v>
      </c>
      <c r="D72" t="s">
        <v>344</v>
      </c>
      <c r="E72" s="2">
        <v>955</v>
      </c>
      <c r="F72" s="3">
        <v>23</v>
      </c>
      <c r="G72" s="4">
        <v>0.23</v>
      </c>
      <c r="H72" s="5">
        <v>0.56999999999999995</v>
      </c>
      <c r="I72" t="s">
        <v>19</v>
      </c>
      <c r="J72">
        <v>1</v>
      </c>
      <c r="K72">
        <v>1</v>
      </c>
      <c r="L72">
        <v>1</v>
      </c>
      <c r="M72" s="4">
        <f>IF(E72&lt;&gt;"",IF(F72&lt;&gt;"",(E72/(F72+1))*J72*K72*L72,""),"")</f>
        <v>39.791666666666664</v>
      </c>
      <c r="N72" t="str">
        <f>IF(M72&lt;&gt;"",IF(M72&gt;150,"Tier 1",IF(M72&gt;50,"Tier 2","Tier 3")),"")</f>
        <v>Tier 3</v>
      </c>
      <c r="O72" t="s">
        <v>345</v>
      </c>
    </row>
    <row r="73" spans="1:16" x14ac:dyDescent="0.25">
      <c r="A73" t="s">
        <v>325</v>
      </c>
      <c r="B73" t="s">
        <v>51</v>
      </c>
      <c r="C73" t="s">
        <v>348</v>
      </c>
      <c r="D73" t="s">
        <v>349</v>
      </c>
      <c r="E73" s="2">
        <v>1018</v>
      </c>
      <c r="F73" s="3">
        <v>29</v>
      </c>
      <c r="G73" s="4">
        <v>0.23</v>
      </c>
      <c r="H73" s="5">
        <v>0.59</v>
      </c>
      <c r="I73" t="s">
        <v>58</v>
      </c>
      <c r="J73">
        <v>1</v>
      </c>
      <c r="K73">
        <v>1.3</v>
      </c>
      <c r="L73">
        <v>0.8</v>
      </c>
      <c r="M73" s="4">
        <f>IF(E73&lt;&gt;"",IF(F73&lt;&gt;"",(E73/(F73+1))*J73*K73*L73,""),"")</f>
        <v>35.290666666666667</v>
      </c>
      <c r="N73" t="str">
        <f>IF(M73&lt;&gt;"",IF(M73&gt;150,"Tier 1",IF(M73&gt;50,"Tier 2","Tier 3")),"")</f>
        <v>Tier 3</v>
      </c>
      <c r="O73" t="s">
        <v>350</v>
      </c>
    </row>
    <row r="74" spans="1:16" x14ac:dyDescent="0.25">
      <c r="A74" t="s">
        <v>743</v>
      </c>
      <c r="B74" t="s">
        <v>51</v>
      </c>
      <c r="C74" t="s">
        <v>766</v>
      </c>
      <c r="D74" t="s">
        <v>767</v>
      </c>
      <c r="E74" s="2">
        <v>1103</v>
      </c>
      <c r="F74" s="3">
        <v>25</v>
      </c>
      <c r="G74" s="4">
        <v>0.23</v>
      </c>
      <c r="H74" s="5">
        <v>0.89</v>
      </c>
      <c r="I74" t="s">
        <v>19</v>
      </c>
      <c r="J74">
        <v>1</v>
      </c>
      <c r="K74">
        <v>1</v>
      </c>
      <c r="L74">
        <v>0.8</v>
      </c>
      <c r="M74" s="4">
        <f>IF(E74&lt;&gt;"",IF(F74&lt;&gt;"",(E74/(F74+1))*J74*K74*L74,""),"")</f>
        <v>33.938461538461539</v>
      </c>
      <c r="N74" t="str">
        <f>IF(M74&lt;&gt;"",IF(M74&gt;150,"Tier 1",IF(M74&gt;50,"Tier 2","Tier 3")),"")</f>
        <v>Tier 3</v>
      </c>
      <c r="O74" t="s">
        <v>768</v>
      </c>
    </row>
    <row r="75" spans="1:16" x14ac:dyDescent="0.25">
      <c r="A75" t="s">
        <v>97</v>
      </c>
      <c r="B75" t="s">
        <v>43</v>
      </c>
      <c r="C75" t="s">
        <v>115</v>
      </c>
      <c r="D75" t="s">
        <v>116</v>
      </c>
      <c r="E75" s="2">
        <v>836</v>
      </c>
      <c r="F75" s="3">
        <v>24</v>
      </c>
      <c r="G75" s="4">
        <v>0.23</v>
      </c>
      <c r="H75" s="5">
        <v>0.32</v>
      </c>
      <c r="I75" t="s">
        <v>19</v>
      </c>
      <c r="J75">
        <v>1</v>
      </c>
      <c r="K75">
        <v>1</v>
      </c>
      <c r="L75">
        <v>1</v>
      </c>
      <c r="M75" s="4">
        <f>IF(E75&lt;&gt;"",IF(F75&lt;&gt;"",(E75/(F75+1))*J75*K75*L75,""),"")</f>
        <v>33.44</v>
      </c>
      <c r="N75" t="str">
        <f>IF(M75&lt;&gt;"",IF(M75&gt;150,"Tier 1",IF(M75&gt;50,"Tier 2","Tier 3")),"")</f>
        <v>Tier 3</v>
      </c>
      <c r="O75" t="s">
        <v>117</v>
      </c>
    </row>
    <row r="76" spans="1:16" x14ac:dyDescent="0.25">
      <c r="A76" t="s">
        <v>293</v>
      </c>
      <c r="B76" t="s">
        <v>47</v>
      </c>
      <c r="C76" t="s">
        <v>297</v>
      </c>
      <c r="D76" t="s">
        <v>314</v>
      </c>
      <c r="E76" s="2">
        <v>596</v>
      </c>
      <c r="F76" s="3">
        <v>25</v>
      </c>
      <c r="G76" s="4">
        <v>0.23</v>
      </c>
      <c r="H76" s="5">
        <v>0.76</v>
      </c>
      <c r="I76" t="s">
        <v>58</v>
      </c>
      <c r="J76">
        <v>1</v>
      </c>
      <c r="K76">
        <v>1.3</v>
      </c>
      <c r="L76">
        <v>1</v>
      </c>
      <c r="M76" s="4">
        <f>IF(E76&lt;&gt;"",IF(F76&lt;&gt;"",(E76/(F76+1))*J76*K76*L76,""),"")</f>
        <v>29.8</v>
      </c>
      <c r="N76" t="str">
        <f>IF(M76&lt;&gt;"",IF(M76&gt;150,"Tier 1",IF(M76&gt;50,"Tier 2","Tier 3")),"")</f>
        <v>Tier 3</v>
      </c>
      <c r="O76" t="s">
        <v>315</v>
      </c>
    </row>
    <row r="77" spans="1:16" x14ac:dyDescent="0.25">
      <c r="A77" t="s">
        <v>97</v>
      </c>
      <c r="B77" t="s">
        <v>51</v>
      </c>
      <c r="C77" t="s">
        <v>120</v>
      </c>
      <c r="D77" t="s">
        <v>121</v>
      </c>
      <c r="E77" s="2">
        <v>865</v>
      </c>
      <c r="F77" s="3">
        <v>23</v>
      </c>
      <c r="G77" s="4">
        <v>0.23</v>
      </c>
      <c r="H77" s="5">
        <v>0.34</v>
      </c>
      <c r="I77" t="s">
        <v>19</v>
      </c>
      <c r="J77">
        <v>1</v>
      </c>
      <c r="K77">
        <v>1</v>
      </c>
      <c r="L77">
        <v>0.8</v>
      </c>
      <c r="M77" s="4">
        <f>IF(E77&lt;&gt;"",IF(F77&lt;&gt;"",(E77/(F77+1))*J77*K77*L77,""),"")</f>
        <v>28.833333333333332</v>
      </c>
      <c r="N77" t="str">
        <f>IF(M77&lt;&gt;"",IF(M77&gt;150,"Tier 1",IF(M77&gt;50,"Tier 2","Tier 3")),"")</f>
        <v>Tier 3</v>
      </c>
      <c r="O77" t="s">
        <v>122</v>
      </c>
    </row>
    <row r="78" spans="1:16" x14ac:dyDescent="0.25">
      <c r="A78" t="s">
        <v>65</v>
      </c>
      <c r="B78" t="s">
        <v>51</v>
      </c>
      <c r="C78" t="s">
        <v>88</v>
      </c>
      <c r="D78" t="s">
        <v>89</v>
      </c>
      <c r="E78" s="2">
        <v>827</v>
      </c>
      <c r="F78" s="3">
        <v>26</v>
      </c>
      <c r="G78" s="4">
        <v>0.23</v>
      </c>
      <c r="H78" s="5">
        <v>0.78</v>
      </c>
      <c r="I78" t="s">
        <v>63</v>
      </c>
      <c r="J78">
        <v>1</v>
      </c>
      <c r="K78">
        <v>0.8</v>
      </c>
      <c r="L78">
        <v>0.8</v>
      </c>
      <c r="M78" s="4">
        <f>IF(E78&lt;&gt;"",IF(F78&lt;&gt;"",(E78/(F78+1))*J78*K78*L78,""),"")</f>
        <v>19.602962962962966</v>
      </c>
      <c r="N78" t="str">
        <f>IF(M78&lt;&gt;"",IF(M78&gt;150,"Tier 1",IF(M78&gt;50,"Tier 2","Tier 3")),"")</f>
        <v>Tier 3</v>
      </c>
      <c r="O78" t="s">
        <v>90</v>
      </c>
    </row>
    <row r="79" spans="1:16" x14ac:dyDescent="0.25">
      <c r="A79" t="s">
        <v>679</v>
      </c>
      <c r="B79" t="s">
        <v>55</v>
      </c>
      <c r="C79" t="s">
        <v>705</v>
      </c>
      <c r="D79" t="s">
        <v>706</v>
      </c>
      <c r="E79" s="2">
        <v>415</v>
      </c>
      <c r="F79" s="3">
        <v>25</v>
      </c>
      <c r="G79" s="4">
        <v>0.23</v>
      </c>
      <c r="H79" s="5">
        <v>1.25</v>
      </c>
      <c r="I79" t="s">
        <v>19</v>
      </c>
      <c r="J79">
        <v>1.5</v>
      </c>
      <c r="K79">
        <v>1</v>
      </c>
      <c r="L79">
        <v>0.8</v>
      </c>
      <c r="M79" s="4">
        <f>IF(E79&lt;&gt;"",IF(F79&lt;&gt;"",(E79/(F79+1))*J79*K79*L79,""),"")</f>
        <v>19.153846153846157</v>
      </c>
      <c r="N79" t="str">
        <f>IF(M79&lt;&gt;"",IF(M79&gt;150,"Tier 1",IF(M79&gt;50,"Tier 2","Tier 3")),"")</f>
        <v>Tier 3</v>
      </c>
      <c r="O79" t="s">
        <v>707</v>
      </c>
    </row>
    <row r="80" spans="1:16" x14ac:dyDescent="0.25">
      <c r="A80" t="s">
        <v>839</v>
      </c>
      <c r="B80" t="s">
        <v>33</v>
      </c>
      <c r="C80" t="s">
        <v>843</v>
      </c>
      <c r="D80" t="s">
        <v>844</v>
      </c>
      <c r="E80" s="2">
        <v>12161</v>
      </c>
      <c r="F80" s="3">
        <v>29</v>
      </c>
      <c r="G80" s="4">
        <v>0.24</v>
      </c>
      <c r="H80" s="5">
        <v>0.4</v>
      </c>
      <c r="I80" t="s">
        <v>58</v>
      </c>
      <c r="J80">
        <v>1</v>
      </c>
      <c r="K80">
        <v>1.3</v>
      </c>
      <c r="L80">
        <v>1.2</v>
      </c>
      <c r="M80" s="4">
        <f>IF(E80&lt;&gt;"",IF(F80&lt;&gt;"",(E80/(F80+1))*J80*K80*L80,""),"")</f>
        <v>632.37199999999996</v>
      </c>
      <c r="N80" t="str">
        <f>IF(M80&lt;&gt;"",IF(M80&gt;150,"Tier 1",IF(M80&gt;50,"Tier 2","Tier 3")),"")</f>
        <v>Tier 1</v>
      </c>
      <c r="O80" t="s">
        <v>852</v>
      </c>
      <c r="P80" s="6"/>
    </row>
    <row r="81" spans="1:15" x14ac:dyDescent="0.25">
      <c r="A81" t="s">
        <v>873</v>
      </c>
      <c r="B81" t="s">
        <v>35</v>
      </c>
      <c r="C81" t="s">
        <v>885</v>
      </c>
      <c r="D81" t="s">
        <v>886</v>
      </c>
      <c r="E81" s="2">
        <v>5326</v>
      </c>
      <c r="F81" s="3">
        <v>26</v>
      </c>
      <c r="G81" s="4">
        <v>0.24</v>
      </c>
      <c r="H81" s="5">
        <v>1.02</v>
      </c>
      <c r="I81" t="s">
        <v>19</v>
      </c>
      <c r="J81">
        <v>1.5</v>
      </c>
      <c r="K81">
        <v>1</v>
      </c>
      <c r="L81">
        <v>1</v>
      </c>
      <c r="M81" s="4">
        <f>IF(E81&lt;&gt;"",IF(F81&lt;&gt;"",(E81/(F81+1))*J81*K81*L81,""),"")</f>
        <v>295.88888888888891</v>
      </c>
      <c r="N81" t="str">
        <f>IF(M81&lt;&gt;"",IF(M81&gt;150,"Tier 1",IF(M81&gt;50,"Tier 2","Tier 3")),"")</f>
        <v>Tier 1</v>
      </c>
      <c r="O81" t="s">
        <v>887</v>
      </c>
    </row>
    <row r="82" spans="1:15" x14ac:dyDescent="0.25">
      <c r="A82" t="s">
        <v>615</v>
      </c>
      <c r="B82" t="s">
        <v>25</v>
      </c>
      <c r="C82" t="s">
        <v>616</v>
      </c>
      <c r="D82" t="s">
        <v>617</v>
      </c>
      <c r="E82" s="2">
        <v>4820</v>
      </c>
      <c r="F82" s="3">
        <v>25</v>
      </c>
      <c r="G82" s="4">
        <v>0.24</v>
      </c>
      <c r="H82" s="5">
        <v>0.71</v>
      </c>
      <c r="I82" t="s">
        <v>19</v>
      </c>
      <c r="J82">
        <v>1</v>
      </c>
      <c r="K82">
        <v>1</v>
      </c>
      <c r="L82">
        <v>1.2</v>
      </c>
      <c r="M82" s="4">
        <f>IF(E82&lt;&gt;"",IF(F82&lt;&gt;"",(E82/(F82+1))*J82*K82*L82,""),"")</f>
        <v>222.46153846153845</v>
      </c>
      <c r="N82" t="str">
        <f>IF(M82&lt;&gt;"",IF(M82&gt;150,"Tier 1",IF(M82&gt;50,"Tier 2","Tier 3")),"")</f>
        <v>Tier 1</v>
      </c>
      <c r="O82" t="s">
        <v>622</v>
      </c>
    </row>
    <row r="83" spans="1:15" x14ac:dyDescent="0.25">
      <c r="A83" t="s">
        <v>647</v>
      </c>
      <c r="B83" t="s">
        <v>51</v>
      </c>
      <c r="C83" t="s">
        <v>670</v>
      </c>
      <c r="D83" t="s">
        <v>671</v>
      </c>
      <c r="E83" s="2">
        <v>3053</v>
      </c>
      <c r="F83" s="3">
        <v>29</v>
      </c>
      <c r="G83" s="4">
        <v>0.24</v>
      </c>
      <c r="H83" s="5">
        <v>1.04</v>
      </c>
      <c r="I83" t="s">
        <v>58</v>
      </c>
      <c r="J83">
        <v>1.5</v>
      </c>
      <c r="K83">
        <v>1.3</v>
      </c>
      <c r="L83">
        <v>0.8</v>
      </c>
      <c r="M83" s="4">
        <f>IF(E83&lt;&gt;"",IF(F83&lt;&gt;"",(E83/(F83+1))*J83*K83*L83,""),"")</f>
        <v>158.75600000000003</v>
      </c>
      <c r="N83" t="str">
        <f>IF(M83&lt;&gt;"",IF(M83&gt;150,"Tier 1",IF(M83&gt;50,"Tier 2","Tier 3")),"")</f>
        <v>Tier 1</v>
      </c>
      <c r="O83" t="s">
        <v>672</v>
      </c>
    </row>
    <row r="84" spans="1:15" x14ac:dyDescent="0.25">
      <c r="A84" t="s">
        <v>1101</v>
      </c>
      <c r="B84" t="s">
        <v>51</v>
      </c>
      <c r="C84" t="s">
        <v>1124</v>
      </c>
      <c r="D84" t="s">
        <v>1125</v>
      </c>
      <c r="E84" s="2">
        <v>3152</v>
      </c>
      <c r="F84" s="3">
        <v>20</v>
      </c>
      <c r="G84" s="4">
        <v>0.24</v>
      </c>
      <c r="H84" s="5">
        <v>0.49</v>
      </c>
      <c r="I84" t="s">
        <v>63</v>
      </c>
      <c r="J84">
        <v>1</v>
      </c>
      <c r="K84">
        <v>0.8</v>
      </c>
      <c r="L84">
        <v>0.8</v>
      </c>
      <c r="M84" s="4">
        <f>IF(E84&lt;&gt;"",IF(F84&lt;&gt;"",(E84/(F84+1))*J84*K84*L84,""),"")</f>
        <v>96.060952380952401</v>
      </c>
      <c r="N84" t="str">
        <f>IF(M84&lt;&gt;"",IF(M84&gt;150,"Tier 1",IF(M84&gt;50,"Tier 2","Tier 3")),"")</f>
        <v>Tier 2</v>
      </c>
      <c r="O84" t="s">
        <v>1126</v>
      </c>
    </row>
    <row r="85" spans="1:15" x14ac:dyDescent="0.25">
      <c r="A85" t="s">
        <v>97</v>
      </c>
      <c r="B85" t="s">
        <v>16</v>
      </c>
      <c r="C85" t="s">
        <v>98</v>
      </c>
      <c r="D85" t="s">
        <v>99</v>
      </c>
      <c r="E85" s="2">
        <v>2079</v>
      </c>
      <c r="F85" s="3">
        <v>26</v>
      </c>
      <c r="G85" s="4">
        <v>0.24</v>
      </c>
      <c r="H85" s="5">
        <v>0.43</v>
      </c>
      <c r="I85" t="s">
        <v>19</v>
      </c>
      <c r="J85">
        <v>1</v>
      </c>
      <c r="K85">
        <v>1</v>
      </c>
      <c r="L85">
        <v>1.2</v>
      </c>
      <c r="M85" s="4">
        <f>IF(E85&lt;&gt;"",IF(F85&lt;&gt;"",(E85/(F85+1))*J85*K85*L85,""),"")</f>
        <v>92.399999999999991</v>
      </c>
      <c r="N85" t="str">
        <f>IF(M85&lt;&gt;"",IF(M85&gt;150,"Tier 1",IF(M85&gt;50,"Tier 2","Tier 3")),"")</f>
        <v>Tier 2</v>
      </c>
      <c r="O85" t="s">
        <v>100</v>
      </c>
    </row>
    <row r="86" spans="1:15" x14ac:dyDescent="0.25">
      <c r="A86" t="s">
        <v>551</v>
      </c>
      <c r="B86" t="s">
        <v>29</v>
      </c>
      <c r="C86" t="s">
        <v>559</v>
      </c>
      <c r="D86" t="s">
        <v>560</v>
      </c>
      <c r="E86" s="2">
        <v>2238</v>
      </c>
      <c r="F86" s="3">
        <v>25</v>
      </c>
      <c r="G86" s="4">
        <v>0.24</v>
      </c>
      <c r="H86" s="5">
        <v>0.75</v>
      </c>
      <c r="I86" t="s">
        <v>19</v>
      </c>
      <c r="J86">
        <v>1</v>
      </c>
      <c r="K86">
        <v>1</v>
      </c>
      <c r="L86">
        <v>1</v>
      </c>
      <c r="M86" s="4">
        <f>IF(E86&lt;&gt;"",IF(F86&lt;&gt;"",(E86/(F86+1))*J86*K86*L86,""),"")</f>
        <v>86.07692307692308</v>
      </c>
      <c r="N86" t="str">
        <f>IF(M86&lt;&gt;"",IF(M86&gt;150,"Tier 1",IF(M86&gt;50,"Tier 2","Tier 3")),"")</f>
        <v>Tier 2</v>
      </c>
      <c r="O86" t="s">
        <v>561</v>
      </c>
    </row>
    <row r="87" spans="1:15" x14ac:dyDescent="0.25">
      <c r="A87" t="s">
        <v>65</v>
      </c>
      <c r="B87" t="s">
        <v>33</v>
      </c>
      <c r="C87" t="s">
        <v>69</v>
      </c>
      <c r="D87" t="s">
        <v>70</v>
      </c>
      <c r="E87" s="2">
        <v>1315</v>
      </c>
      <c r="F87" s="3">
        <v>25</v>
      </c>
      <c r="G87" s="4">
        <v>0.24</v>
      </c>
      <c r="H87" s="5">
        <v>0.96</v>
      </c>
      <c r="I87" t="s">
        <v>19</v>
      </c>
      <c r="J87">
        <v>1</v>
      </c>
      <c r="K87">
        <v>1</v>
      </c>
      <c r="L87">
        <v>1.2</v>
      </c>
      <c r="M87" s="4">
        <f>IF(E87&lt;&gt;"",IF(F87&lt;&gt;"",(E87/(F87+1))*J87*K87*L87,""),"")</f>
        <v>60.692307692307693</v>
      </c>
      <c r="N87" t="str">
        <f>IF(M87&lt;&gt;"",IF(M87&gt;150,"Tier 1",IF(M87&gt;50,"Tier 2","Tier 3")),"")</f>
        <v>Tier 2</v>
      </c>
      <c r="O87" t="s">
        <v>76</v>
      </c>
    </row>
    <row r="88" spans="1:15" x14ac:dyDescent="0.25">
      <c r="A88" t="s">
        <v>65</v>
      </c>
      <c r="B88" t="s">
        <v>29</v>
      </c>
      <c r="C88" t="s">
        <v>73</v>
      </c>
      <c r="D88" t="s">
        <v>74</v>
      </c>
      <c r="E88" s="2">
        <v>1004</v>
      </c>
      <c r="F88" s="3">
        <v>21</v>
      </c>
      <c r="G88" s="4">
        <v>0.24</v>
      </c>
      <c r="H88" s="5">
        <v>0.78</v>
      </c>
      <c r="I88" t="s">
        <v>58</v>
      </c>
      <c r="J88">
        <v>1</v>
      </c>
      <c r="K88">
        <v>1.3</v>
      </c>
      <c r="L88">
        <v>1</v>
      </c>
      <c r="M88" s="4">
        <f>IF(E88&lt;&gt;"",IF(F88&lt;&gt;"",(E88/(F88+1))*J88*K88*L88,""),"")</f>
        <v>59.327272727272728</v>
      </c>
      <c r="N88" t="str">
        <f>IF(M88&lt;&gt;"",IF(M88&gt;150,"Tier 1",IF(M88&gt;50,"Tier 2","Tier 3")),"")</f>
        <v>Tier 2</v>
      </c>
      <c r="O88" t="s">
        <v>75</v>
      </c>
    </row>
    <row r="89" spans="1:15" x14ac:dyDescent="0.25">
      <c r="A89" t="s">
        <v>293</v>
      </c>
      <c r="B89" t="s">
        <v>35</v>
      </c>
      <c r="C89" t="s">
        <v>305</v>
      </c>
      <c r="D89" t="s">
        <v>306</v>
      </c>
      <c r="E89" s="2">
        <v>1215</v>
      </c>
      <c r="F89" s="3">
        <v>22</v>
      </c>
      <c r="G89" s="4">
        <v>0.24</v>
      </c>
      <c r="H89" s="5">
        <v>0.59</v>
      </c>
      <c r="I89" t="s">
        <v>19</v>
      </c>
      <c r="J89">
        <v>1</v>
      </c>
      <c r="K89">
        <v>1</v>
      </c>
      <c r="L89">
        <v>1</v>
      </c>
      <c r="M89" s="4">
        <f>IF(E89&lt;&gt;"",IF(F89&lt;&gt;"",(E89/(F89+1))*J89*K89*L89,""),"")</f>
        <v>52.826086956521742</v>
      </c>
      <c r="N89" t="str">
        <f>IF(M89&lt;&gt;"",IF(M89&gt;150,"Tier 1",IF(M89&gt;50,"Tier 2","Tier 3")),"")</f>
        <v>Tier 2</v>
      </c>
      <c r="O89" t="s">
        <v>307</v>
      </c>
    </row>
    <row r="90" spans="1:15" x14ac:dyDescent="0.25">
      <c r="A90" t="s">
        <v>743</v>
      </c>
      <c r="B90" t="s">
        <v>43</v>
      </c>
      <c r="C90" t="s">
        <v>761</v>
      </c>
      <c r="D90" t="s">
        <v>762</v>
      </c>
      <c r="E90" s="2">
        <v>1198</v>
      </c>
      <c r="F90" s="3">
        <v>23</v>
      </c>
      <c r="G90" s="4">
        <v>0.24</v>
      </c>
      <c r="H90" s="5">
        <v>0.9</v>
      </c>
      <c r="I90" t="s">
        <v>19</v>
      </c>
      <c r="J90">
        <v>1</v>
      </c>
      <c r="K90">
        <v>1</v>
      </c>
      <c r="L90">
        <v>1</v>
      </c>
      <c r="M90" s="4">
        <f>IF(E90&lt;&gt;"",IF(F90&lt;&gt;"",(E90/(F90+1))*J90*K90*L90,""),"")</f>
        <v>49.916666666666664</v>
      </c>
      <c r="N90" t="str">
        <f>IF(M90&lt;&gt;"",IF(M90&gt;150,"Tier 1",IF(M90&gt;50,"Tier 2","Tier 3")),"")</f>
        <v>Tier 3</v>
      </c>
      <c r="O90" t="s">
        <v>763</v>
      </c>
    </row>
    <row r="91" spans="1:15" x14ac:dyDescent="0.25">
      <c r="A91" t="s">
        <v>1037</v>
      </c>
      <c r="B91" t="s">
        <v>47</v>
      </c>
      <c r="C91" t="s">
        <v>1041</v>
      </c>
      <c r="D91" t="s">
        <v>1058</v>
      </c>
      <c r="E91" s="2">
        <v>1389</v>
      </c>
      <c r="F91" s="3">
        <v>24</v>
      </c>
      <c r="G91" s="4">
        <v>0.24</v>
      </c>
      <c r="H91" s="5">
        <v>0.78</v>
      </c>
      <c r="I91" t="s">
        <v>63</v>
      </c>
      <c r="J91">
        <v>1</v>
      </c>
      <c r="K91">
        <v>0.8</v>
      </c>
      <c r="L91">
        <v>1</v>
      </c>
      <c r="M91" s="4">
        <f>IF(E91&lt;&gt;"",IF(F91&lt;&gt;"",(E91/(F91+1))*J91*K91*L91,""),"")</f>
        <v>44.448000000000008</v>
      </c>
      <c r="N91" t="str">
        <f>IF(M91&lt;&gt;"",IF(M91&gt;150,"Tier 1",IF(M91&gt;50,"Tier 2","Tier 3")),"")</f>
        <v>Tier 3</v>
      </c>
      <c r="O91" t="s">
        <v>1059</v>
      </c>
    </row>
    <row r="92" spans="1:15" x14ac:dyDescent="0.25">
      <c r="A92" t="s">
        <v>551</v>
      </c>
      <c r="B92" t="s">
        <v>51</v>
      </c>
      <c r="C92" t="s">
        <v>574</v>
      </c>
      <c r="D92" t="s">
        <v>575</v>
      </c>
      <c r="E92" s="2">
        <v>1414</v>
      </c>
      <c r="F92" s="3">
        <v>29</v>
      </c>
      <c r="G92" s="4">
        <v>0.24</v>
      </c>
      <c r="H92" s="5">
        <v>0.75</v>
      </c>
      <c r="I92" t="s">
        <v>19</v>
      </c>
      <c r="J92">
        <v>1</v>
      </c>
      <c r="K92">
        <v>1</v>
      </c>
      <c r="L92">
        <v>0.8</v>
      </c>
      <c r="M92" s="4">
        <f>IF(E92&lt;&gt;"",IF(F92&lt;&gt;"",(E92/(F92+1))*J92*K92*L92,""),"")</f>
        <v>37.706666666666671</v>
      </c>
      <c r="N92" t="str">
        <f>IF(M92&lt;&gt;"",IF(M92&gt;150,"Tier 1",IF(M92&gt;50,"Tier 2","Tier 3")),"")</f>
        <v>Tier 3</v>
      </c>
      <c r="O92" t="s">
        <v>576</v>
      </c>
    </row>
    <row r="93" spans="1:15" x14ac:dyDescent="0.25">
      <c r="A93" t="s">
        <v>775</v>
      </c>
      <c r="B93" t="s">
        <v>25</v>
      </c>
      <c r="C93" t="s">
        <v>776</v>
      </c>
      <c r="D93" t="s">
        <v>777</v>
      </c>
      <c r="E93" s="2">
        <v>8040</v>
      </c>
      <c r="F93" s="3">
        <v>27</v>
      </c>
      <c r="G93" s="4">
        <v>0.25</v>
      </c>
      <c r="H93" s="5">
        <v>1.0900000000000001</v>
      </c>
      <c r="I93" t="s">
        <v>19</v>
      </c>
      <c r="J93">
        <v>1.5</v>
      </c>
      <c r="K93">
        <v>1</v>
      </c>
      <c r="L93">
        <v>1.2</v>
      </c>
      <c r="M93" s="4">
        <f>IF(E93&lt;&gt;"",IF(F93&lt;&gt;"",(E93/(F93+1))*J93*K93*L93,""),"")</f>
        <v>516.85714285714289</v>
      </c>
      <c r="N93" t="str">
        <f>IF(M93&lt;&gt;"",IF(M93&gt;150,"Tier 1",IF(M93&gt;50,"Tier 2","Tier 3")),"")</f>
        <v>Tier 1</v>
      </c>
      <c r="O93" t="s">
        <v>782</v>
      </c>
    </row>
    <row r="94" spans="1:15" x14ac:dyDescent="0.25">
      <c r="A94" t="s">
        <v>487</v>
      </c>
      <c r="B94" t="s">
        <v>21</v>
      </c>
      <c r="C94" t="s">
        <v>491</v>
      </c>
      <c r="D94" t="s">
        <v>492</v>
      </c>
      <c r="E94" s="2">
        <v>7937</v>
      </c>
      <c r="F94" s="3">
        <v>25</v>
      </c>
      <c r="G94" s="4">
        <v>0.25</v>
      </c>
      <c r="H94" s="5">
        <v>0.73</v>
      </c>
      <c r="I94" t="s">
        <v>58</v>
      </c>
      <c r="J94">
        <v>1</v>
      </c>
      <c r="K94">
        <v>1.3</v>
      </c>
      <c r="L94">
        <v>1.2</v>
      </c>
      <c r="M94" s="4">
        <f>IF(E94&lt;&gt;"",IF(F94&lt;&gt;"",(E94/(F94+1))*J94*K94*L94,""),"")</f>
        <v>476.22</v>
      </c>
      <c r="N94" t="str">
        <f>IF(M94&lt;&gt;"",IF(M94&gt;150,"Tier 1",IF(M94&gt;50,"Tier 2","Tier 3")),"")</f>
        <v>Tier 1</v>
      </c>
      <c r="O94" t="s">
        <v>493</v>
      </c>
    </row>
    <row r="95" spans="1:15" x14ac:dyDescent="0.25">
      <c r="A95" t="s">
        <v>15</v>
      </c>
      <c r="B95" t="s">
        <v>25</v>
      </c>
      <c r="C95" t="s">
        <v>26</v>
      </c>
      <c r="D95" t="s">
        <v>27</v>
      </c>
      <c r="E95" s="2">
        <v>8503</v>
      </c>
      <c r="F95" s="3">
        <v>28</v>
      </c>
      <c r="G95" s="4">
        <v>0.25</v>
      </c>
      <c r="H95" s="5">
        <v>0.54</v>
      </c>
      <c r="I95" t="s">
        <v>19</v>
      </c>
      <c r="J95">
        <v>1</v>
      </c>
      <c r="K95">
        <v>1</v>
      </c>
      <c r="L95">
        <v>1.2</v>
      </c>
      <c r="M95" s="4">
        <f>IF(E95&lt;&gt;"",IF(F95&lt;&gt;"",(E95/(F95+1))*J95*K95*L95,""),"")</f>
        <v>351.84827586206893</v>
      </c>
      <c r="N95" t="str">
        <f>IF(M95&lt;&gt;"",IF(M95&gt;150,"Tier 1",IF(M95&gt;50,"Tier 2","Tier 3")),"")</f>
        <v>Tier 1</v>
      </c>
      <c r="O95" t="s">
        <v>28</v>
      </c>
    </row>
    <row r="96" spans="1:15" x14ac:dyDescent="0.25">
      <c r="A96" t="s">
        <v>1005</v>
      </c>
      <c r="B96" t="s">
        <v>16</v>
      </c>
      <c r="C96" t="s">
        <v>1006</v>
      </c>
      <c r="D96" t="s">
        <v>1007</v>
      </c>
      <c r="E96" s="2">
        <v>5513</v>
      </c>
      <c r="F96" s="3">
        <v>30</v>
      </c>
      <c r="G96" s="4">
        <v>0.25</v>
      </c>
      <c r="H96" s="5">
        <v>1.1599999999999999</v>
      </c>
      <c r="I96" t="s">
        <v>19</v>
      </c>
      <c r="J96">
        <v>1.5</v>
      </c>
      <c r="K96">
        <v>1</v>
      </c>
      <c r="L96">
        <v>1.2</v>
      </c>
      <c r="M96" s="4">
        <f>IF(E96&lt;&gt;"",IF(F96&lt;&gt;"",(E96/(F96+1))*J96*K96*L96,""),"")</f>
        <v>320.1096774193548</v>
      </c>
      <c r="N96" t="str">
        <f>IF(M96&lt;&gt;"",IF(M96&gt;150,"Tier 1",IF(M96&gt;50,"Tier 2","Tier 3")),"")</f>
        <v>Tier 1</v>
      </c>
      <c r="O96" t="s">
        <v>1008</v>
      </c>
    </row>
    <row r="97" spans="1:15" x14ac:dyDescent="0.25">
      <c r="A97" t="s">
        <v>455</v>
      </c>
      <c r="B97" t="s">
        <v>25</v>
      </c>
      <c r="C97" t="s">
        <v>456</v>
      </c>
      <c r="D97" t="s">
        <v>457</v>
      </c>
      <c r="E97" s="2">
        <v>7236</v>
      </c>
      <c r="F97" s="3">
        <v>31</v>
      </c>
      <c r="G97" s="4">
        <v>0.25</v>
      </c>
      <c r="H97" s="5">
        <v>0.43</v>
      </c>
      <c r="I97" t="s">
        <v>19</v>
      </c>
      <c r="J97">
        <v>1</v>
      </c>
      <c r="K97">
        <v>1</v>
      </c>
      <c r="L97">
        <v>1.2</v>
      </c>
      <c r="M97" s="4">
        <f>IF(E97&lt;&gt;"",IF(F97&lt;&gt;"",(E97/(F97+1))*J97*K97*L97,""),"")</f>
        <v>271.34999999999997</v>
      </c>
      <c r="N97" t="str">
        <f>IF(M97&lt;&gt;"",IF(M97&gt;150,"Tier 1",IF(M97&gt;50,"Tier 2","Tier 3")),"")</f>
        <v>Tier 1</v>
      </c>
      <c r="O97" t="s">
        <v>462</v>
      </c>
    </row>
    <row r="98" spans="1:15" x14ac:dyDescent="0.25">
      <c r="A98" t="s">
        <v>679</v>
      </c>
      <c r="B98" t="s">
        <v>33</v>
      </c>
      <c r="C98" t="s">
        <v>683</v>
      </c>
      <c r="D98" t="s">
        <v>684</v>
      </c>
      <c r="E98" s="2">
        <v>2002</v>
      </c>
      <c r="F98" s="3">
        <v>24</v>
      </c>
      <c r="G98" s="4">
        <v>0.25</v>
      </c>
      <c r="H98" s="5">
        <v>1.24</v>
      </c>
      <c r="I98" t="s">
        <v>58</v>
      </c>
      <c r="J98">
        <v>1.5</v>
      </c>
      <c r="K98">
        <v>1.3</v>
      </c>
      <c r="L98">
        <v>1.2</v>
      </c>
      <c r="M98" s="4">
        <f>IF(E98&lt;&gt;"",IF(F98&lt;&gt;"",(E98/(F98+1))*J98*K98*L98,""),"")</f>
        <v>187.38720000000001</v>
      </c>
      <c r="N98" t="str">
        <f>IF(M98&lt;&gt;"",IF(M98&gt;150,"Tier 1",IF(M98&gt;50,"Tier 2","Tier 3")),"")</f>
        <v>Tier 1</v>
      </c>
      <c r="O98" t="s">
        <v>690</v>
      </c>
    </row>
    <row r="99" spans="1:15" x14ac:dyDescent="0.25">
      <c r="A99" t="s">
        <v>97</v>
      </c>
      <c r="B99" t="s">
        <v>33</v>
      </c>
      <c r="C99" t="s">
        <v>101</v>
      </c>
      <c r="D99" t="s">
        <v>102</v>
      </c>
      <c r="E99" s="2">
        <v>2004</v>
      </c>
      <c r="F99" s="3">
        <v>27</v>
      </c>
      <c r="G99" s="4">
        <v>0.25</v>
      </c>
      <c r="H99" s="5">
        <v>0.27</v>
      </c>
      <c r="I99" t="s">
        <v>58</v>
      </c>
      <c r="J99">
        <v>1</v>
      </c>
      <c r="K99">
        <v>1.3</v>
      </c>
      <c r="L99">
        <v>1.2</v>
      </c>
      <c r="M99" s="4">
        <f>IF(E99&lt;&gt;"",IF(F99&lt;&gt;"",(E99/(F99+1))*J99*K99*L99,""),"")</f>
        <v>111.65142857142857</v>
      </c>
      <c r="N99" t="str">
        <f>IF(M99&lt;&gt;"",IF(M99&gt;150,"Tier 1",IF(M99&gt;50,"Tier 2","Tier 3")),"")</f>
        <v>Tier 2</v>
      </c>
      <c r="O99" t="s">
        <v>108</v>
      </c>
    </row>
    <row r="100" spans="1:15" x14ac:dyDescent="0.25">
      <c r="A100" t="s">
        <v>551</v>
      </c>
      <c r="B100" t="s">
        <v>47</v>
      </c>
      <c r="C100" t="s">
        <v>555</v>
      </c>
      <c r="D100" t="s">
        <v>572</v>
      </c>
      <c r="E100" s="2">
        <v>1309</v>
      </c>
      <c r="F100" s="3">
        <v>24</v>
      </c>
      <c r="G100" s="4">
        <v>0.25</v>
      </c>
      <c r="H100" s="5">
        <v>1.05</v>
      </c>
      <c r="I100" t="s">
        <v>58</v>
      </c>
      <c r="J100">
        <v>1.5</v>
      </c>
      <c r="K100">
        <v>1.3</v>
      </c>
      <c r="L100">
        <v>1</v>
      </c>
      <c r="M100" s="4">
        <f>IF(E100&lt;&gt;"",IF(F100&lt;&gt;"",(E100/(F100+1))*J100*K100*L100,""),"")</f>
        <v>102.10199999999999</v>
      </c>
      <c r="N100" t="str">
        <f>IF(M100&lt;&gt;"",IF(M100&gt;150,"Tier 1",IF(M100&gt;50,"Tier 2","Tier 3")),"")</f>
        <v>Tier 2</v>
      </c>
      <c r="O100" t="s">
        <v>573</v>
      </c>
    </row>
    <row r="101" spans="1:15" x14ac:dyDescent="0.25">
      <c r="A101" t="s">
        <v>15</v>
      </c>
      <c r="B101" t="s">
        <v>55</v>
      </c>
      <c r="C101" t="s">
        <v>56</v>
      </c>
      <c r="D101" t="s">
        <v>57</v>
      </c>
      <c r="E101" s="2">
        <v>2483</v>
      </c>
      <c r="F101" s="3">
        <v>26</v>
      </c>
      <c r="G101" s="4">
        <v>0.25</v>
      </c>
      <c r="H101" s="5">
        <v>0.48</v>
      </c>
      <c r="I101" t="s">
        <v>58</v>
      </c>
      <c r="J101">
        <v>1</v>
      </c>
      <c r="K101">
        <v>1.3</v>
      </c>
      <c r="L101">
        <v>0.8</v>
      </c>
      <c r="M101" s="4">
        <f>IF(E101&lt;&gt;"",IF(F101&lt;&gt;"",(E101/(F101+1))*J101*K101*L101,""),"")</f>
        <v>95.641481481481492</v>
      </c>
      <c r="N101" t="str">
        <f>IF(M101&lt;&gt;"",IF(M101&gt;150,"Tier 1",IF(M101&gt;50,"Tier 2","Tier 3")),"")</f>
        <v>Tier 2</v>
      </c>
      <c r="O101" t="s">
        <v>59</v>
      </c>
    </row>
    <row r="102" spans="1:15" x14ac:dyDescent="0.25">
      <c r="A102" t="s">
        <v>487</v>
      </c>
      <c r="B102" t="s">
        <v>43</v>
      </c>
      <c r="C102" t="s">
        <v>505</v>
      </c>
      <c r="D102" t="s">
        <v>506</v>
      </c>
      <c r="E102" s="2">
        <v>2392</v>
      </c>
      <c r="F102" s="3">
        <v>26</v>
      </c>
      <c r="G102" s="4">
        <v>0.25</v>
      </c>
      <c r="H102" s="5">
        <v>0.96</v>
      </c>
      <c r="I102" t="s">
        <v>19</v>
      </c>
      <c r="J102">
        <v>1</v>
      </c>
      <c r="K102">
        <v>1</v>
      </c>
      <c r="L102">
        <v>1</v>
      </c>
      <c r="M102" s="4">
        <f>IF(E102&lt;&gt;"",IF(F102&lt;&gt;"",(E102/(F102+1))*J102*K102*L102,""),"")</f>
        <v>88.592592592592595</v>
      </c>
      <c r="N102" t="str">
        <f>IF(M102&lt;&gt;"",IF(M102&gt;150,"Tier 1",IF(M102&gt;50,"Tier 2","Tier 3")),"")</f>
        <v>Tier 2</v>
      </c>
      <c r="O102" t="s">
        <v>507</v>
      </c>
    </row>
    <row r="103" spans="1:15" x14ac:dyDescent="0.25">
      <c r="A103" t="s">
        <v>583</v>
      </c>
      <c r="B103" t="s">
        <v>47</v>
      </c>
      <c r="C103" t="s">
        <v>587</v>
      </c>
      <c r="D103" t="s">
        <v>604</v>
      </c>
      <c r="E103" s="2">
        <v>1560</v>
      </c>
      <c r="F103" s="3">
        <v>27</v>
      </c>
      <c r="G103" s="4">
        <v>0.25</v>
      </c>
      <c r="H103" s="5">
        <v>1.32</v>
      </c>
      <c r="I103" t="s">
        <v>19</v>
      </c>
      <c r="J103">
        <v>1.5</v>
      </c>
      <c r="K103">
        <v>1</v>
      </c>
      <c r="L103">
        <v>1</v>
      </c>
      <c r="M103" s="4">
        <f>IF(E103&lt;&gt;"",IF(F103&lt;&gt;"",(E103/(F103+1))*J103*K103*L103,""),"")</f>
        <v>83.571428571428569</v>
      </c>
      <c r="N103" t="str">
        <f>IF(M103&lt;&gt;"",IF(M103&gt;150,"Tier 1",IF(M103&gt;50,"Tier 2","Tier 3")),"")</f>
        <v>Tier 2</v>
      </c>
      <c r="O103" t="s">
        <v>605</v>
      </c>
    </row>
    <row r="104" spans="1:15" x14ac:dyDescent="0.25">
      <c r="A104" t="s">
        <v>391</v>
      </c>
      <c r="B104" t="s">
        <v>51</v>
      </c>
      <c r="C104" t="s">
        <v>414</v>
      </c>
      <c r="D104" t="s">
        <v>415</v>
      </c>
      <c r="E104" s="2">
        <v>1901</v>
      </c>
      <c r="F104" s="3">
        <v>28</v>
      </c>
      <c r="G104" s="4">
        <v>0.25</v>
      </c>
      <c r="H104" s="5">
        <v>1.49</v>
      </c>
      <c r="I104" t="s">
        <v>19</v>
      </c>
      <c r="J104">
        <v>1.5</v>
      </c>
      <c r="K104">
        <v>1</v>
      </c>
      <c r="L104">
        <v>0.8</v>
      </c>
      <c r="M104" s="4">
        <f>IF(E104&lt;&gt;"",IF(F104&lt;&gt;"",(E104/(F104+1))*J104*K104*L104,""),"")</f>
        <v>78.662068965517236</v>
      </c>
      <c r="N104" t="str">
        <f>IF(M104&lt;&gt;"",IF(M104&gt;150,"Tier 1",IF(M104&gt;50,"Tier 2","Tier 3")),"")</f>
        <v>Tier 2</v>
      </c>
      <c r="O104" t="s">
        <v>416</v>
      </c>
    </row>
    <row r="105" spans="1:15" x14ac:dyDescent="0.25">
      <c r="A105" t="s">
        <v>807</v>
      </c>
      <c r="B105" t="s">
        <v>43</v>
      </c>
      <c r="C105" t="s">
        <v>825</v>
      </c>
      <c r="D105" t="s">
        <v>826</v>
      </c>
      <c r="E105" s="2">
        <v>1312</v>
      </c>
      <c r="F105" s="3">
        <v>24</v>
      </c>
      <c r="G105" s="4">
        <v>0.25</v>
      </c>
      <c r="H105" s="5">
        <v>0.39</v>
      </c>
      <c r="I105" t="s">
        <v>58</v>
      </c>
      <c r="J105">
        <v>1</v>
      </c>
      <c r="K105">
        <v>1.3</v>
      </c>
      <c r="L105">
        <v>1</v>
      </c>
      <c r="M105" s="4">
        <f>IF(E105&lt;&gt;"",IF(F105&lt;&gt;"",(E105/(F105+1))*J105*K105*L105,""),"")</f>
        <v>68.224000000000004</v>
      </c>
      <c r="N105" t="str">
        <f>IF(M105&lt;&gt;"",IF(M105&gt;150,"Tier 1",IF(M105&gt;50,"Tier 2","Tier 3")),"")</f>
        <v>Tier 2</v>
      </c>
      <c r="O105" t="s">
        <v>827</v>
      </c>
    </row>
    <row r="106" spans="1:15" x14ac:dyDescent="0.25">
      <c r="A106" t="s">
        <v>679</v>
      </c>
      <c r="B106" t="s">
        <v>47</v>
      </c>
      <c r="C106" t="s">
        <v>683</v>
      </c>
      <c r="D106" t="s">
        <v>700</v>
      </c>
      <c r="E106" s="2">
        <v>788</v>
      </c>
      <c r="F106" s="3">
        <v>26</v>
      </c>
      <c r="G106" s="4">
        <v>0.25</v>
      </c>
      <c r="H106" s="5">
        <v>1.29</v>
      </c>
      <c r="I106" t="s">
        <v>58</v>
      </c>
      <c r="J106">
        <v>1.5</v>
      </c>
      <c r="K106">
        <v>1.3</v>
      </c>
      <c r="L106">
        <v>1</v>
      </c>
      <c r="M106" s="4">
        <f>IF(E106&lt;&gt;"",IF(F106&lt;&gt;"",(E106/(F106+1))*J106*K106*L106,""),"")</f>
        <v>56.911111111111111</v>
      </c>
      <c r="N106" t="str">
        <f>IF(M106&lt;&gt;"",IF(M106&gt;150,"Tier 1",IF(M106&gt;50,"Tier 2","Tier 3")),"")</f>
        <v>Tier 2</v>
      </c>
      <c r="O106" t="s">
        <v>701</v>
      </c>
    </row>
    <row r="107" spans="1:15" x14ac:dyDescent="0.25">
      <c r="A107" t="s">
        <v>679</v>
      </c>
      <c r="B107" t="s">
        <v>60</v>
      </c>
      <c r="C107" t="s">
        <v>708</v>
      </c>
      <c r="D107" t="s">
        <v>709</v>
      </c>
      <c r="E107" s="2">
        <v>1257</v>
      </c>
      <c r="F107" s="3">
        <v>28</v>
      </c>
      <c r="G107" s="4">
        <v>0.25</v>
      </c>
      <c r="H107" s="5">
        <v>1.1299999999999999</v>
      </c>
      <c r="I107" t="s">
        <v>19</v>
      </c>
      <c r="J107">
        <v>1.5</v>
      </c>
      <c r="K107">
        <v>1</v>
      </c>
      <c r="L107">
        <v>0.8</v>
      </c>
      <c r="M107" s="4">
        <f>IF(E107&lt;&gt;"",IF(F107&lt;&gt;"",(E107/(F107+1))*J107*K107*L107,""),"")</f>
        <v>52.013793103448279</v>
      </c>
      <c r="N107" t="str">
        <f>IF(M107&lt;&gt;"",IF(M107&gt;150,"Tier 1",IF(M107&gt;50,"Tier 2","Tier 3")),"")</f>
        <v>Tier 2</v>
      </c>
      <c r="O107" t="s">
        <v>710</v>
      </c>
    </row>
    <row r="108" spans="1:15" x14ac:dyDescent="0.25">
      <c r="A108" t="s">
        <v>941</v>
      </c>
      <c r="B108" t="s">
        <v>55</v>
      </c>
      <c r="C108" t="s">
        <v>967</v>
      </c>
      <c r="D108" t="s">
        <v>968</v>
      </c>
      <c r="E108" s="2">
        <v>927</v>
      </c>
      <c r="F108" s="3">
        <v>29</v>
      </c>
      <c r="G108" s="4">
        <v>0.25</v>
      </c>
      <c r="H108" s="5">
        <v>1.17</v>
      </c>
      <c r="I108" t="s">
        <v>19</v>
      </c>
      <c r="J108">
        <v>1.5</v>
      </c>
      <c r="K108">
        <v>1</v>
      </c>
      <c r="L108">
        <v>0.8</v>
      </c>
      <c r="M108" s="4">
        <f>IF(E108&lt;&gt;"",IF(F108&lt;&gt;"",(E108/(F108+1))*J108*K108*L108,""),"")</f>
        <v>37.08</v>
      </c>
      <c r="N108" t="str">
        <f>IF(M108&lt;&gt;"",IF(M108&gt;150,"Tier 1",IF(M108&gt;50,"Tier 2","Tier 3")),"")</f>
        <v>Tier 3</v>
      </c>
      <c r="O108" t="s">
        <v>969</v>
      </c>
    </row>
    <row r="109" spans="1:15" x14ac:dyDescent="0.25">
      <c r="A109" t="s">
        <v>261</v>
      </c>
      <c r="B109" t="s">
        <v>60</v>
      </c>
      <c r="C109" t="s">
        <v>290</v>
      </c>
      <c r="D109" t="s">
        <v>291</v>
      </c>
      <c r="E109" s="2">
        <v>710</v>
      </c>
      <c r="F109" s="3">
        <v>23</v>
      </c>
      <c r="G109" s="4">
        <v>0.25</v>
      </c>
      <c r="H109" s="5">
        <v>0.8</v>
      </c>
      <c r="I109" t="s">
        <v>19</v>
      </c>
      <c r="J109">
        <v>1</v>
      </c>
      <c r="K109">
        <v>1</v>
      </c>
      <c r="L109">
        <v>0.8</v>
      </c>
      <c r="M109" s="4">
        <f>IF(E109&lt;&gt;"",IF(F109&lt;&gt;"",(E109/(F109+1))*J109*K109*L109,""),"")</f>
        <v>23.666666666666668</v>
      </c>
      <c r="N109" t="str">
        <f>IF(M109&lt;&gt;"",IF(M109&gt;150,"Tier 1",IF(M109&gt;50,"Tier 2","Tier 3")),"")</f>
        <v>Tier 3</v>
      </c>
      <c r="O109" t="s">
        <v>292</v>
      </c>
    </row>
    <row r="110" spans="1:15" x14ac:dyDescent="0.25">
      <c r="A110" t="s">
        <v>905</v>
      </c>
      <c r="B110" t="s">
        <v>29</v>
      </c>
      <c r="C110" t="s">
        <v>915</v>
      </c>
      <c r="D110" t="s">
        <v>916</v>
      </c>
      <c r="E110" s="2">
        <v>8295</v>
      </c>
      <c r="F110" s="3">
        <v>30</v>
      </c>
      <c r="G110" s="4">
        <v>0.26</v>
      </c>
      <c r="H110" s="5">
        <v>0.97</v>
      </c>
      <c r="I110" t="s">
        <v>58</v>
      </c>
      <c r="J110">
        <v>1</v>
      </c>
      <c r="K110">
        <v>1.3</v>
      </c>
      <c r="L110">
        <v>1</v>
      </c>
      <c r="M110" s="4">
        <f>IF(E110&lt;&gt;"",IF(F110&lt;&gt;"",(E110/(F110+1))*J110*K110*L110,""),"")</f>
        <v>347.85483870967744</v>
      </c>
      <c r="N110" t="str">
        <f>IF(M110&lt;&gt;"",IF(M110&gt;150,"Tier 1",IF(M110&gt;50,"Tier 2","Tier 3")),"")</f>
        <v>Tier 1</v>
      </c>
      <c r="O110" t="s">
        <v>917</v>
      </c>
    </row>
    <row r="111" spans="1:15" x14ac:dyDescent="0.25">
      <c r="A111" t="s">
        <v>873</v>
      </c>
      <c r="B111" t="s">
        <v>29</v>
      </c>
      <c r="C111" t="s">
        <v>881</v>
      </c>
      <c r="D111" t="s">
        <v>882</v>
      </c>
      <c r="E111" s="2">
        <v>4643</v>
      </c>
      <c r="F111" s="3">
        <v>23</v>
      </c>
      <c r="G111" s="4">
        <v>0.26</v>
      </c>
      <c r="H111" s="5">
        <v>1.04</v>
      </c>
      <c r="I111" t="s">
        <v>19</v>
      </c>
      <c r="J111">
        <v>1.5</v>
      </c>
      <c r="K111">
        <v>1</v>
      </c>
      <c r="L111">
        <v>1</v>
      </c>
      <c r="M111" s="4">
        <f>IF(E111&lt;&gt;"",IF(F111&lt;&gt;"",(E111/(F111+1))*J111*K111*L111,""),"")</f>
        <v>290.1875</v>
      </c>
      <c r="N111" t="str">
        <f>IF(M111&lt;&gt;"",IF(M111&gt;150,"Tier 1",IF(M111&gt;50,"Tier 2","Tier 3")),"")</f>
        <v>Tier 1</v>
      </c>
      <c r="O111" t="s">
        <v>883</v>
      </c>
    </row>
    <row r="112" spans="1:15" x14ac:dyDescent="0.25">
      <c r="A112" t="s">
        <v>1037</v>
      </c>
      <c r="B112" t="s">
        <v>16</v>
      </c>
      <c r="C112" t="s">
        <v>1038</v>
      </c>
      <c r="D112" t="s">
        <v>1039</v>
      </c>
      <c r="E112" s="2">
        <v>4420</v>
      </c>
      <c r="F112" s="3">
        <v>26</v>
      </c>
      <c r="G112" s="4">
        <v>0.26</v>
      </c>
      <c r="H112" s="5">
        <v>0.51</v>
      </c>
      <c r="I112" t="s">
        <v>19</v>
      </c>
      <c r="J112">
        <v>1</v>
      </c>
      <c r="K112">
        <v>1</v>
      </c>
      <c r="L112">
        <v>1.2</v>
      </c>
      <c r="M112" s="4">
        <f>IF(E112&lt;&gt;"",IF(F112&lt;&gt;"",(E112/(F112+1))*J112*K112*L112,""),"")</f>
        <v>196.44444444444443</v>
      </c>
      <c r="N112" t="str">
        <f>IF(M112&lt;&gt;"",IF(M112&gt;150,"Tier 1",IF(M112&gt;50,"Tier 2","Tier 3")),"")</f>
        <v>Tier 1</v>
      </c>
      <c r="O112" t="s">
        <v>1040</v>
      </c>
    </row>
    <row r="113" spans="1:15" x14ac:dyDescent="0.25">
      <c r="A113" t="s">
        <v>1101</v>
      </c>
      <c r="B113" t="s">
        <v>35</v>
      </c>
      <c r="C113" t="s">
        <v>1113</v>
      </c>
      <c r="D113" t="s">
        <v>1114</v>
      </c>
      <c r="E113" s="2">
        <v>5092</v>
      </c>
      <c r="F113" s="3">
        <v>26</v>
      </c>
      <c r="G113" s="4">
        <v>0.26</v>
      </c>
      <c r="H113" s="5">
        <v>0.38</v>
      </c>
      <c r="I113" t="s">
        <v>19</v>
      </c>
      <c r="J113">
        <v>1</v>
      </c>
      <c r="K113">
        <v>1</v>
      </c>
      <c r="L113">
        <v>1</v>
      </c>
      <c r="M113" s="4">
        <f>IF(E113&lt;&gt;"",IF(F113&lt;&gt;"",(E113/(F113+1))*J113*K113*L113,""),"")</f>
        <v>188.59259259259258</v>
      </c>
      <c r="N113" t="str">
        <f>IF(M113&lt;&gt;"",IF(M113&gt;150,"Tier 1",IF(M113&gt;50,"Tier 2","Tier 3")),"")</f>
        <v>Tier 1</v>
      </c>
      <c r="O113" t="s">
        <v>1115</v>
      </c>
    </row>
    <row r="114" spans="1:15" x14ac:dyDescent="0.25">
      <c r="A114" t="s">
        <v>487</v>
      </c>
      <c r="B114" t="s">
        <v>16</v>
      </c>
      <c r="C114" t="s">
        <v>488</v>
      </c>
      <c r="D114" t="s">
        <v>489</v>
      </c>
      <c r="E114" s="2">
        <v>4667</v>
      </c>
      <c r="F114" s="3">
        <v>32</v>
      </c>
      <c r="G114" s="4">
        <v>0.26</v>
      </c>
      <c r="H114" s="5">
        <v>0.92</v>
      </c>
      <c r="I114" t="s">
        <v>19</v>
      </c>
      <c r="J114">
        <v>1</v>
      </c>
      <c r="K114">
        <v>1</v>
      </c>
      <c r="L114">
        <v>1.2</v>
      </c>
      <c r="M114" s="4">
        <f>IF(E114&lt;&gt;"",IF(F114&lt;&gt;"",(E114/(F114+1))*J114*K114*L114,""),"")</f>
        <v>169.70909090909092</v>
      </c>
      <c r="N114" t="str">
        <f>IF(M114&lt;&gt;"",IF(M114&gt;150,"Tier 1",IF(M114&gt;50,"Tier 2","Tier 3")),"")</f>
        <v>Tier 1</v>
      </c>
      <c r="O114" t="s">
        <v>490</v>
      </c>
    </row>
    <row r="115" spans="1:15" x14ac:dyDescent="0.25">
      <c r="A115" t="s">
        <v>455</v>
      </c>
      <c r="B115" t="s">
        <v>60</v>
      </c>
      <c r="C115" t="s">
        <v>484</v>
      </c>
      <c r="D115" t="s">
        <v>485</v>
      </c>
      <c r="E115" s="2">
        <v>4777</v>
      </c>
      <c r="F115" s="3">
        <v>22</v>
      </c>
      <c r="G115" s="4">
        <v>0.26</v>
      </c>
      <c r="H115" s="5">
        <v>0.38</v>
      </c>
      <c r="I115" t="s">
        <v>19</v>
      </c>
      <c r="J115">
        <v>1</v>
      </c>
      <c r="K115">
        <v>1</v>
      </c>
      <c r="L115">
        <v>0.8</v>
      </c>
      <c r="M115" s="4">
        <f>IF(E115&lt;&gt;"",IF(F115&lt;&gt;"",(E115/(F115+1))*J115*K115*L115,""),"")</f>
        <v>166.15652173913043</v>
      </c>
      <c r="N115" t="str">
        <f>IF(M115&lt;&gt;"",IF(M115&gt;150,"Tier 1",IF(M115&gt;50,"Tier 2","Tier 3")),"")</f>
        <v>Tier 1</v>
      </c>
      <c r="O115" t="s">
        <v>486</v>
      </c>
    </row>
    <row r="116" spans="1:15" x14ac:dyDescent="0.25">
      <c r="A116" t="s">
        <v>551</v>
      </c>
      <c r="B116" t="s">
        <v>33</v>
      </c>
      <c r="C116" t="s">
        <v>555</v>
      </c>
      <c r="D116" t="s">
        <v>556</v>
      </c>
      <c r="E116" s="2">
        <v>3179</v>
      </c>
      <c r="F116" s="3">
        <v>22</v>
      </c>
      <c r="G116" s="4">
        <v>0.26</v>
      </c>
      <c r="H116" s="5">
        <v>0.91</v>
      </c>
      <c r="I116" t="s">
        <v>19</v>
      </c>
      <c r="J116">
        <v>1</v>
      </c>
      <c r="K116">
        <v>1</v>
      </c>
      <c r="L116">
        <v>1.2</v>
      </c>
      <c r="M116" s="4">
        <f>IF(E116&lt;&gt;"",IF(F116&lt;&gt;"",(E116/(F116+1))*J116*K116*L116,""),"")</f>
        <v>165.86086956521737</v>
      </c>
      <c r="N116" t="str">
        <f>IF(M116&lt;&gt;"",IF(M116&gt;150,"Tier 1",IF(M116&gt;50,"Tier 2","Tier 3")),"")</f>
        <v>Tier 1</v>
      </c>
      <c r="O116" t="s">
        <v>562</v>
      </c>
    </row>
    <row r="117" spans="1:15" x14ac:dyDescent="0.25">
      <c r="A117" t="s">
        <v>807</v>
      </c>
      <c r="B117" t="s">
        <v>33</v>
      </c>
      <c r="C117" t="s">
        <v>811</v>
      </c>
      <c r="D117" t="s">
        <v>812</v>
      </c>
      <c r="E117" s="2">
        <v>2905</v>
      </c>
      <c r="F117" s="3">
        <v>24</v>
      </c>
      <c r="G117" s="4">
        <v>0.26</v>
      </c>
      <c r="H117" s="5">
        <v>0.57999999999999996</v>
      </c>
      <c r="I117" t="s">
        <v>19</v>
      </c>
      <c r="J117">
        <v>1</v>
      </c>
      <c r="K117">
        <v>1</v>
      </c>
      <c r="L117">
        <v>1.2</v>
      </c>
      <c r="M117" s="4">
        <f>IF(E117&lt;&gt;"",IF(F117&lt;&gt;"",(E117/(F117+1))*J117*K117*L117,""),"")</f>
        <v>139.44</v>
      </c>
      <c r="N117" t="str">
        <f>IF(M117&lt;&gt;"",IF(M117&gt;150,"Tier 1",IF(M117&gt;50,"Tier 2","Tier 3")),"")</f>
        <v>Tier 2</v>
      </c>
      <c r="O117" t="s">
        <v>818</v>
      </c>
    </row>
    <row r="118" spans="1:15" x14ac:dyDescent="0.25">
      <c r="A118" t="s">
        <v>1101</v>
      </c>
      <c r="B118" t="s">
        <v>39</v>
      </c>
      <c r="C118" t="s">
        <v>1116</v>
      </c>
      <c r="D118" t="s">
        <v>1117</v>
      </c>
      <c r="E118" s="2">
        <v>3145</v>
      </c>
      <c r="F118" s="3">
        <v>25</v>
      </c>
      <c r="G118" s="4">
        <v>0.26</v>
      </c>
      <c r="H118" s="5">
        <v>0.59</v>
      </c>
      <c r="I118" t="s">
        <v>19</v>
      </c>
      <c r="J118">
        <v>1</v>
      </c>
      <c r="K118">
        <v>1</v>
      </c>
      <c r="L118">
        <v>1</v>
      </c>
      <c r="M118" s="4">
        <f>IF(E118&lt;&gt;"",IF(F118&lt;&gt;"",(E118/(F118+1))*J118*K118*L118,""),"")</f>
        <v>120.96153846153847</v>
      </c>
      <c r="N118" t="str">
        <f>IF(M118&lt;&gt;"",IF(M118&gt;150,"Tier 1",IF(M118&gt;50,"Tier 2","Tier 3")),"")</f>
        <v>Tier 2</v>
      </c>
      <c r="O118" t="s">
        <v>1118</v>
      </c>
    </row>
    <row r="119" spans="1:15" x14ac:dyDescent="0.25">
      <c r="A119" t="s">
        <v>65</v>
      </c>
      <c r="B119" t="s">
        <v>21</v>
      </c>
      <c r="C119" t="s">
        <v>69</v>
      </c>
      <c r="D119" t="s">
        <v>70</v>
      </c>
      <c r="E119" s="2">
        <v>2135</v>
      </c>
      <c r="F119" s="3">
        <v>22</v>
      </c>
      <c r="G119" s="4">
        <v>0.26</v>
      </c>
      <c r="H119" s="5">
        <v>0.82</v>
      </c>
      <c r="I119" t="s">
        <v>19</v>
      </c>
      <c r="J119">
        <v>1</v>
      </c>
      <c r="K119">
        <v>1</v>
      </c>
      <c r="L119">
        <v>1.2</v>
      </c>
      <c r="M119" s="4">
        <f>IF(E119&lt;&gt;"",IF(F119&lt;&gt;"",(E119/(F119+1))*J119*K119*L119,""),"")</f>
        <v>111.39130434782608</v>
      </c>
      <c r="N119" t="str">
        <f>IF(M119&lt;&gt;"",IF(M119&gt;150,"Tier 1",IF(M119&gt;50,"Tier 2","Tier 3")),"")</f>
        <v>Tier 2</v>
      </c>
      <c r="O119" t="s">
        <v>71</v>
      </c>
    </row>
    <row r="120" spans="1:15" x14ac:dyDescent="0.25">
      <c r="A120" t="s">
        <v>941</v>
      </c>
      <c r="B120" t="s">
        <v>25</v>
      </c>
      <c r="C120" t="s">
        <v>942</v>
      </c>
      <c r="D120" t="s">
        <v>943</v>
      </c>
      <c r="E120" s="2">
        <v>2836</v>
      </c>
      <c r="F120" s="3">
        <v>32</v>
      </c>
      <c r="G120" s="4">
        <v>0.26</v>
      </c>
      <c r="H120" s="5">
        <v>0.93</v>
      </c>
      <c r="I120" t="s">
        <v>19</v>
      </c>
      <c r="J120">
        <v>1</v>
      </c>
      <c r="K120">
        <v>1</v>
      </c>
      <c r="L120">
        <v>1.2</v>
      </c>
      <c r="M120" s="4">
        <f>IF(E120&lt;&gt;"",IF(F120&lt;&gt;"",(E120/(F120+1))*J120*K120*L120,""),"")</f>
        <v>103.12727272727273</v>
      </c>
      <c r="N120" t="str">
        <f>IF(M120&lt;&gt;"",IF(M120&gt;150,"Tier 1",IF(M120&gt;50,"Tier 2","Tier 3")),"")</f>
        <v>Tier 2</v>
      </c>
      <c r="O120" t="s">
        <v>948</v>
      </c>
    </row>
    <row r="121" spans="1:15" x14ac:dyDescent="0.25">
      <c r="A121" t="s">
        <v>941</v>
      </c>
      <c r="B121" t="s">
        <v>51</v>
      </c>
      <c r="C121" t="s">
        <v>964</v>
      </c>
      <c r="D121" t="s">
        <v>965</v>
      </c>
      <c r="E121" s="2">
        <v>1899</v>
      </c>
      <c r="F121" s="3">
        <v>28</v>
      </c>
      <c r="G121" s="4">
        <v>0.26</v>
      </c>
      <c r="H121" s="5">
        <v>1.1599999999999999</v>
      </c>
      <c r="I121" t="s">
        <v>58</v>
      </c>
      <c r="J121">
        <v>1.5</v>
      </c>
      <c r="K121">
        <v>1.3</v>
      </c>
      <c r="L121">
        <v>0.8</v>
      </c>
      <c r="M121" s="4">
        <f>IF(E121&lt;&gt;"",IF(F121&lt;&gt;"",(E121/(F121+1))*J121*K121*L121,""),"")</f>
        <v>102.15310344827587</v>
      </c>
      <c r="N121" t="str">
        <f>IF(M121&lt;&gt;"",IF(M121&gt;150,"Tier 1",IF(M121&gt;50,"Tier 2","Tier 3")),"")</f>
        <v>Tier 2</v>
      </c>
      <c r="O121" t="s">
        <v>966</v>
      </c>
    </row>
    <row r="122" spans="1:15" x14ac:dyDescent="0.25">
      <c r="A122" t="s">
        <v>293</v>
      </c>
      <c r="B122" t="s">
        <v>25</v>
      </c>
      <c r="C122" t="s">
        <v>294</v>
      </c>
      <c r="D122" t="s">
        <v>295</v>
      </c>
      <c r="E122" s="2">
        <v>1516</v>
      </c>
      <c r="F122" s="3">
        <v>23</v>
      </c>
      <c r="G122" s="4">
        <v>0.26</v>
      </c>
      <c r="H122" s="5">
        <v>0.7</v>
      </c>
      <c r="I122" t="s">
        <v>58</v>
      </c>
      <c r="J122">
        <v>1</v>
      </c>
      <c r="K122">
        <v>1.3</v>
      </c>
      <c r="L122">
        <v>1.2</v>
      </c>
      <c r="M122" s="4">
        <f>IF(E122&lt;&gt;"",IF(F122&lt;&gt;"",(E122/(F122+1))*J122*K122*L122,""),"")</f>
        <v>98.539999999999992</v>
      </c>
      <c r="N122" t="str">
        <f>IF(M122&lt;&gt;"",IF(M122&gt;150,"Tier 1",IF(M122&gt;50,"Tier 2","Tier 3")),"")</f>
        <v>Tier 2</v>
      </c>
      <c r="O122" t="s">
        <v>300</v>
      </c>
    </row>
    <row r="123" spans="1:15" x14ac:dyDescent="0.25">
      <c r="A123" t="s">
        <v>615</v>
      </c>
      <c r="B123" t="s">
        <v>39</v>
      </c>
      <c r="C123" t="s">
        <v>630</v>
      </c>
      <c r="D123" t="s">
        <v>631</v>
      </c>
      <c r="E123" s="2">
        <v>3216</v>
      </c>
      <c r="F123" s="3">
        <v>28</v>
      </c>
      <c r="G123" s="4">
        <v>0.26</v>
      </c>
      <c r="H123" s="5">
        <v>0.69</v>
      </c>
      <c r="I123" t="s">
        <v>63</v>
      </c>
      <c r="J123">
        <v>1</v>
      </c>
      <c r="K123">
        <v>0.8</v>
      </c>
      <c r="L123">
        <v>1</v>
      </c>
      <c r="M123" s="4">
        <f>IF(E123&lt;&gt;"",IF(F123&lt;&gt;"",(E123/(F123+1))*J123*K123*L123,""),"")</f>
        <v>88.717241379310352</v>
      </c>
      <c r="N123" t="str">
        <f>IF(M123&lt;&gt;"",IF(M123&gt;150,"Tier 1",IF(M123&gt;50,"Tier 2","Tier 3")),"")</f>
        <v>Tier 2</v>
      </c>
      <c r="O123" t="s">
        <v>632</v>
      </c>
    </row>
    <row r="124" spans="1:15" x14ac:dyDescent="0.25">
      <c r="A124" t="s">
        <v>1133</v>
      </c>
      <c r="B124" t="s">
        <v>39</v>
      </c>
      <c r="C124" t="s">
        <v>1148</v>
      </c>
      <c r="D124" t="s">
        <v>1149</v>
      </c>
      <c r="E124" s="2">
        <v>1694</v>
      </c>
      <c r="F124" s="3">
        <v>31</v>
      </c>
      <c r="G124" s="4">
        <v>0.26</v>
      </c>
      <c r="H124" s="5">
        <v>1.25</v>
      </c>
      <c r="I124" t="s">
        <v>19</v>
      </c>
      <c r="J124">
        <v>1.5</v>
      </c>
      <c r="K124">
        <v>1</v>
      </c>
      <c r="L124">
        <v>1</v>
      </c>
      <c r="M124" s="4">
        <f>IF(E124&lt;&gt;"",IF(F124&lt;&gt;"",(E124/(F124+1))*J124*K124*L124,""),"")</f>
        <v>79.40625</v>
      </c>
      <c r="N124" t="str">
        <f>IF(M124&lt;&gt;"",IF(M124&gt;150,"Tier 1",IF(M124&gt;50,"Tier 2","Tier 3")),"")</f>
        <v>Tier 2</v>
      </c>
      <c r="O124" t="s">
        <v>1150</v>
      </c>
    </row>
    <row r="125" spans="1:15" x14ac:dyDescent="0.25">
      <c r="A125" t="s">
        <v>423</v>
      </c>
      <c r="B125" t="s">
        <v>35</v>
      </c>
      <c r="C125" t="s">
        <v>435</v>
      </c>
      <c r="D125" t="s">
        <v>436</v>
      </c>
      <c r="E125" s="2">
        <v>2590</v>
      </c>
      <c r="F125" s="3">
        <v>32</v>
      </c>
      <c r="G125" s="4">
        <v>0.26</v>
      </c>
      <c r="H125" s="5">
        <v>0.97</v>
      </c>
      <c r="I125" t="s">
        <v>19</v>
      </c>
      <c r="J125">
        <v>1</v>
      </c>
      <c r="K125">
        <v>1</v>
      </c>
      <c r="L125">
        <v>1</v>
      </c>
      <c r="M125" s="4">
        <f>IF(E125&lt;&gt;"",IF(F125&lt;&gt;"",(E125/(F125+1))*J125*K125*L125,""),"")</f>
        <v>78.484848484848484</v>
      </c>
      <c r="N125" t="str">
        <f>IF(M125&lt;&gt;"",IF(M125&gt;150,"Tier 1",IF(M125&gt;50,"Tier 2","Tier 3")),"")</f>
        <v>Tier 2</v>
      </c>
      <c r="O125" t="s">
        <v>437</v>
      </c>
    </row>
    <row r="126" spans="1:15" x14ac:dyDescent="0.25">
      <c r="A126" t="s">
        <v>551</v>
      </c>
      <c r="B126" t="s">
        <v>43</v>
      </c>
      <c r="C126" t="s">
        <v>569</v>
      </c>
      <c r="D126" t="s">
        <v>570</v>
      </c>
      <c r="E126" s="2">
        <v>1373</v>
      </c>
      <c r="F126" s="3">
        <v>25</v>
      </c>
      <c r="G126" s="4">
        <v>0.26</v>
      </c>
      <c r="H126" s="5">
        <v>0.92</v>
      </c>
      <c r="I126" t="s">
        <v>58</v>
      </c>
      <c r="J126">
        <v>1</v>
      </c>
      <c r="K126">
        <v>1.3</v>
      </c>
      <c r="L126">
        <v>1</v>
      </c>
      <c r="M126" s="4">
        <f>IF(E126&lt;&gt;"",IF(F126&lt;&gt;"",(E126/(F126+1))*J126*K126*L126,""),"")</f>
        <v>68.650000000000006</v>
      </c>
      <c r="N126" t="str">
        <f>IF(M126&lt;&gt;"",IF(M126&gt;150,"Tier 1",IF(M126&gt;50,"Tier 2","Tier 3")),"")</f>
        <v>Tier 2</v>
      </c>
      <c r="O126" t="s">
        <v>571</v>
      </c>
    </row>
    <row r="127" spans="1:15" x14ac:dyDescent="0.25">
      <c r="A127" t="s">
        <v>1037</v>
      </c>
      <c r="B127" t="s">
        <v>39</v>
      </c>
      <c r="C127" t="s">
        <v>1052</v>
      </c>
      <c r="D127" t="s">
        <v>1053</v>
      </c>
      <c r="E127" s="2">
        <v>1916</v>
      </c>
      <c r="F127" s="3">
        <v>27</v>
      </c>
      <c r="G127" s="4">
        <v>0.26</v>
      </c>
      <c r="H127" s="5">
        <v>0.71</v>
      </c>
      <c r="I127" t="s">
        <v>19</v>
      </c>
      <c r="J127">
        <v>1</v>
      </c>
      <c r="K127">
        <v>1</v>
      </c>
      <c r="L127">
        <v>1</v>
      </c>
      <c r="M127" s="4">
        <f>IF(E127&lt;&gt;"",IF(F127&lt;&gt;"",(E127/(F127+1))*J127*K127*L127,""),"")</f>
        <v>68.428571428571431</v>
      </c>
      <c r="N127" t="str">
        <f>IF(M127&lt;&gt;"",IF(M127&gt;150,"Tier 1",IF(M127&gt;50,"Tier 2","Tier 3")),"")</f>
        <v>Tier 2</v>
      </c>
      <c r="O127" t="s">
        <v>1054</v>
      </c>
    </row>
    <row r="128" spans="1:15" x14ac:dyDescent="0.25">
      <c r="A128" t="s">
        <v>941</v>
      </c>
      <c r="B128" t="s">
        <v>47</v>
      </c>
      <c r="C128" t="s">
        <v>945</v>
      </c>
      <c r="D128" t="s">
        <v>962</v>
      </c>
      <c r="E128" s="2">
        <v>1554</v>
      </c>
      <c r="F128" s="3">
        <v>26</v>
      </c>
      <c r="G128" s="4">
        <v>0.26</v>
      </c>
      <c r="H128" s="5">
        <v>0.78</v>
      </c>
      <c r="I128" t="s">
        <v>19</v>
      </c>
      <c r="J128">
        <v>1</v>
      </c>
      <c r="K128">
        <v>1</v>
      </c>
      <c r="L128">
        <v>1</v>
      </c>
      <c r="M128" s="4">
        <f>IF(E128&lt;&gt;"",IF(F128&lt;&gt;"",(E128/(F128+1))*J128*K128*L128,""),"")</f>
        <v>57.555555555555557</v>
      </c>
      <c r="N128" t="str">
        <f>IF(M128&lt;&gt;"",IF(M128&gt;150,"Tier 1",IF(M128&gt;50,"Tier 2","Tier 3")),"")</f>
        <v>Tier 2</v>
      </c>
      <c r="O128" t="s">
        <v>963</v>
      </c>
    </row>
    <row r="129" spans="1:15" x14ac:dyDescent="0.25">
      <c r="A129" t="s">
        <v>973</v>
      </c>
      <c r="B129" t="s">
        <v>60</v>
      </c>
      <c r="C129" t="s">
        <v>1002</v>
      </c>
      <c r="D129" t="s">
        <v>1003</v>
      </c>
      <c r="E129" s="2">
        <v>1886</v>
      </c>
      <c r="F129" s="3">
        <v>26</v>
      </c>
      <c r="G129" s="4">
        <v>0.26</v>
      </c>
      <c r="H129" s="5">
        <v>0.98</v>
      </c>
      <c r="I129" t="s">
        <v>19</v>
      </c>
      <c r="J129">
        <v>1</v>
      </c>
      <c r="K129">
        <v>1</v>
      </c>
      <c r="L129">
        <v>0.8</v>
      </c>
      <c r="M129" s="4">
        <f>IF(E129&lt;&gt;"",IF(F129&lt;&gt;"",(E129/(F129+1))*J129*K129*L129,""),"")</f>
        <v>55.88148148148148</v>
      </c>
      <c r="N129" t="str">
        <f>IF(M129&lt;&gt;"",IF(M129&gt;150,"Tier 1",IF(M129&gt;50,"Tier 2","Tier 3")),"")</f>
        <v>Tier 2</v>
      </c>
      <c r="O129" t="s">
        <v>1004</v>
      </c>
    </row>
    <row r="130" spans="1:15" x14ac:dyDescent="0.25">
      <c r="A130" t="s">
        <v>455</v>
      </c>
      <c r="B130" t="s">
        <v>55</v>
      </c>
      <c r="C130" t="s">
        <v>481</v>
      </c>
      <c r="D130" t="s">
        <v>482</v>
      </c>
      <c r="E130" s="2">
        <v>1639</v>
      </c>
      <c r="F130" s="3">
        <v>30</v>
      </c>
      <c r="G130" s="4">
        <v>0.26</v>
      </c>
      <c r="H130" s="5">
        <v>0.28999999999999998</v>
      </c>
      <c r="I130" t="s">
        <v>58</v>
      </c>
      <c r="J130">
        <v>1</v>
      </c>
      <c r="K130">
        <v>1.3</v>
      </c>
      <c r="L130">
        <v>0.8</v>
      </c>
      <c r="M130" s="4">
        <f>IF(E130&lt;&gt;"",IF(F130&lt;&gt;"",(E130/(F130+1))*J130*K130*L130,""),"")</f>
        <v>54.985806451612909</v>
      </c>
      <c r="N130" t="str">
        <f>IF(M130&lt;&gt;"",IF(M130&gt;150,"Tier 1",IF(M130&gt;50,"Tier 2","Tier 3")),"")</f>
        <v>Tier 2</v>
      </c>
      <c r="O130" t="s">
        <v>483</v>
      </c>
    </row>
    <row r="131" spans="1:15" x14ac:dyDescent="0.25">
      <c r="A131" t="s">
        <v>973</v>
      </c>
      <c r="B131" t="s">
        <v>47</v>
      </c>
      <c r="C131" t="s">
        <v>977</v>
      </c>
      <c r="D131" t="s">
        <v>994</v>
      </c>
      <c r="E131" s="2">
        <v>1324</v>
      </c>
      <c r="F131" s="3">
        <v>29</v>
      </c>
      <c r="G131" s="4">
        <v>0.26</v>
      </c>
      <c r="H131" s="5">
        <v>0.73</v>
      </c>
      <c r="I131" t="s">
        <v>19</v>
      </c>
      <c r="J131">
        <v>1</v>
      </c>
      <c r="K131">
        <v>1</v>
      </c>
      <c r="L131">
        <v>1</v>
      </c>
      <c r="M131" s="4">
        <f>IF(E131&lt;&gt;"",IF(F131&lt;&gt;"",(E131/(F131+1))*J131*K131*L131,""),"")</f>
        <v>44.133333333333333</v>
      </c>
      <c r="N131" t="str">
        <f>IF(M131&lt;&gt;"",IF(M131&gt;150,"Tier 1",IF(M131&gt;50,"Tier 2","Tier 3")),"")</f>
        <v>Tier 3</v>
      </c>
      <c r="O131" t="s">
        <v>995</v>
      </c>
    </row>
    <row r="132" spans="1:15" x14ac:dyDescent="0.25">
      <c r="A132" t="s">
        <v>1037</v>
      </c>
      <c r="B132" t="s">
        <v>51</v>
      </c>
      <c r="C132" t="s">
        <v>1060</v>
      </c>
      <c r="D132" t="s">
        <v>1061</v>
      </c>
      <c r="E132" s="2">
        <v>1907</v>
      </c>
      <c r="F132" s="3">
        <v>28</v>
      </c>
      <c r="G132" s="4">
        <v>0.26</v>
      </c>
      <c r="H132" s="5">
        <v>0.59</v>
      </c>
      <c r="I132" t="s">
        <v>63</v>
      </c>
      <c r="J132">
        <v>1</v>
      </c>
      <c r="K132">
        <v>0.8</v>
      </c>
      <c r="L132">
        <v>0.8</v>
      </c>
      <c r="M132" s="4">
        <f>IF(E132&lt;&gt;"",IF(F132&lt;&gt;"",(E132/(F132+1))*J132*K132*L132,""),"")</f>
        <v>42.085517241379314</v>
      </c>
      <c r="N132" t="str">
        <f>IF(M132&lt;&gt;"",IF(M132&gt;150,"Tier 1",IF(M132&gt;50,"Tier 2","Tier 3")),"")</f>
        <v>Tier 3</v>
      </c>
      <c r="O132" t="s">
        <v>1062</v>
      </c>
    </row>
    <row r="133" spans="1:15" x14ac:dyDescent="0.25">
      <c r="A133" t="s">
        <v>1165</v>
      </c>
      <c r="B133" t="s">
        <v>55</v>
      </c>
      <c r="C133" t="s">
        <v>1191</v>
      </c>
      <c r="D133" t="s">
        <v>1192</v>
      </c>
      <c r="E133" s="2">
        <v>663</v>
      </c>
      <c r="F133" s="3">
        <v>31</v>
      </c>
      <c r="G133" s="4">
        <v>0.26</v>
      </c>
      <c r="H133" s="5">
        <v>1.24</v>
      </c>
      <c r="I133" t="s">
        <v>19</v>
      </c>
      <c r="J133">
        <v>1.5</v>
      </c>
      <c r="K133">
        <v>1</v>
      </c>
      <c r="L133">
        <v>0.8</v>
      </c>
      <c r="M133" s="4">
        <f>IF(E133&lt;&gt;"",IF(F133&lt;&gt;"",(E133/(F133+1))*J133*K133*L133,""),"")</f>
        <v>24.862500000000001</v>
      </c>
      <c r="N133" t="str">
        <f>IF(M133&lt;&gt;"",IF(M133&gt;150,"Tier 1",IF(M133&gt;50,"Tier 2","Tier 3")),"")</f>
        <v>Tier 3</v>
      </c>
      <c r="O133" t="s">
        <v>1193</v>
      </c>
    </row>
    <row r="134" spans="1:15" x14ac:dyDescent="0.25">
      <c r="A134" t="s">
        <v>65</v>
      </c>
      <c r="B134" t="s">
        <v>39</v>
      </c>
      <c r="C134" t="s">
        <v>80</v>
      </c>
      <c r="D134" t="s">
        <v>81</v>
      </c>
      <c r="E134" s="2">
        <v>821</v>
      </c>
      <c r="F134" s="3">
        <v>27</v>
      </c>
      <c r="G134" s="4">
        <v>0.26</v>
      </c>
      <c r="H134" s="5">
        <v>0.61</v>
      </c>
      <c r="I134" t="s">
        <v>63</v>
      </c>
      <c r="J134">
        <v>1</v>
      </c>
      <c r="K134">
        <v>0.8</v>
      </c>
      <c r="L134">
        <v>1</v>
      </c>
      <c r="M134" s="4">
        <f>IF(E134&lt;&gt;"",IF(F134&lt;&gt;"",(E134/(F134+1))*J134*K134*L134,""),"")</f>
        <v>23.457142857142859</v>
      </c>
      <c r="N134" t="str">
        <f>IF(M134&lt;&gt;"",IF(M134&gt;150,"Tier 1",IF(M134&gt;50,"Tier 2","Tier 3")),"")</f>
        <v>Tier 3</v>
      </c>
      <c r="O134" t="s">
        <v>82</v>
      </c>
    </row>
    <row r="135" spans="1:15" x14ac:dyDescent="0.25">
      <c r="A135" t="s">
        <v>743</v>
      </c>
      <c r="B135" t="s">
        <v>55</v>
      </c>
      <c r="C135" t="s">
        <v>769</v>
      </c>
      <c r="D135" t="s">
        <v>770</v>
      </c>
      <c r="E135" s="2">
        <v>469</v>
      </c>
      <c r="F135" s="3">
        <v>23</v>
      </c>
      <c r="G135" s="4">
        <v>0.26</v>
      </c>
      <c r="H135" s="5">
        <v>1.1000000000000001</v>
      </c>
      <c r="I135" t="s">
        <v>63</v>
      </c>
      <c r="J135">
        <v>1.5</v>
      </c>
      <c r="K135">
        <v>0.8</v>
      </c>
      <c r="L135">
        <v>0.8</v>
      </c>
      <c r="M135" s="4">
        <f>IF(E135&lt;&gt;"",IF(F135&lt;&gt;"",(E135/(F135+1))*J135*K135*L135,""),"")</f>
        <v>18.760000000000002</v>
      </c>
      <c r="N135" t="str">
        <f>IF(M135&lt;&gt;"",IF(M135&gt;150,"Tier 1",IF(M135&gt;50,"Tier 2","Tier 3")),"")</f>
        <v>Tier 3</v>
      </c>
      <c r="O135" t="s">
        <v>771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s="2">
        <v>12189</v>
      </c>
      <c r="F136" s="3">
        <v>25</v>
      </c>
      <c r="G136" s="4">
        <v>0.27</v>
      </c>
      <c r="H136" s="5">
        <v>0.4</v>
      </c>
      <c r="I136" t="s">
        <v>19</v>
      </c>
      <c r="J136">
        <v>1</v>
      </c>
      <c r="K136">
        <v>1</v>
      </c>
      <c r="L136">
        <v>1.2</v>
      </c>
      <c r="M136" s="4">
        <f>IF(E136&lt;&gt;"",IF(F136&lt;&gt;"",(E136/(F136+1))*J136*K136*L136,""),"")</f>
        <v>562.56923076923078</v>
      </c>
      <c r="N136" t="str">
        <f>IF(M136&lt;&gt;"",IF(M136&gt;150,"Tier 1",IF(M136&gt;50,"Tier 2","Tier 3")),"")</f>
        <v>Tier 1</v>
      </c>
      <c r="O136" t="s">
        <v>20</v>
      </c>
    </row>
    <row r="137" spans="1:15" x14ac:dyDescent="0.25">
      <c r="A137" t="s">
        <v>775</v>
      </c>
      <c r="B137" t="s">
        <v>35</v>
      </c>
      <c r="C137" t="s">
        <v>787</v>
      </c>
      <c r="D137" t="s">
        <v>788</v>
      </c>
      <c r="E137" s="2">
        <v>6675</v>
      </c>
      <c r="F137" s="3">
        <v>32</v>
      </c>
      <c r="G137" s="4">
        <v>0.27</v>
      </c>
      <c r="H137" s="5">
        <v>1.2</v>
      </c>
      <c r="I137" t="s">
        <v>19</v>
      </c>
      <c r="J137">
        <v>1.5</v>
      </c>
      <c r="K137">
        <v>1</v>
      </c>
      <c r="L137">
        <v>1</v>
      </c>
      <c r="M137" s="4">
        <f>IF(E137&lt;&gt;"",IF(F137&lt;&gt;"",(E137/(F137+1))*J137*K137*L137,""),"")</f>
        <v>303.40909090909093</v>
      </c>
      <c r="N137" t="str">
        <f>IF(M137&lt;&gt;"",IF(M137&gt;150,"Tier 1",IF(M137&gt;50,"Tier 2","Tier 3")),"")</f>
        <v>Tier 1</v>
      </c>
      <c r="O137" t="s">
        <v>789</v>
      </c>
    </row>
    <row r="138" spans="1:15" x14ac:dyDescent="0.25">
      <c r="A138" t="s">
        <v>973</v>
      </c>
      <c r="B138" t="s">
        <v>21</v>
      </c>
      <c r="C138" t="s">
        <v>977</v>
      </c>
      <c r="D138" t="s">
        <v>978</v>
      </c>
      <c r="E138" s="2">
        <v>4452</v>
      </c>
      <c r="F138" s="3">
        <v>33</v>
      </c>
      <c r="G138" s="4">
        <v>0.27</v>
      </c>
      <c r="H138" s="5">
        <v>1.21</v>
      </c>
      <c r="I138" t="s">
        <v>19</v>
      </c>
      <c r="J138">
        <v>1.5</v>
      </c>
      <c r="K138">
        <v>1</v>
      </c>
      <c r="L138">
        <v>1.2</v>
      </c>
      <c r="M138" s="4">
        <f>IF(E138&lt;&gt;"",IF(F138&lt;&gt;"",(E138/(F138+1))*J138*K138*L138,""),"")</f>
        <v>235.69411764705882</v>
      </c>
      <c r="N138" t="str">
        <f>IF(M138&lt;&gt;"",IF(M138&gt;150,"Tier 1",IF(M138&gt;50,"Tier 2","Tier 3")),"")</f>
        <v>Tier 1</v>
      </c>
      <c r="O138" t="s">
        <v>979</v>
      </c>
    </row>
    <row r="139" spans="1:15" x14ac:dyDescent="0.25">
      <c r="A139" t="s">
        <v>743</v>
      </c>
      <c r="B139" t="s">
        <v>21</v>
      </c>
      <c r="C139" t="s">
        <v>747</v>
      </c>
      <c r="D139" t="s">
        <v>748</v>
      </c>
      <c r="E139" s="2">
        <v>2945</v>
      </c>
      <c r="F139" s="3">
        <v>31</v>
      </c>
      <c r="G139" s="4">
        <v>0.27</v>
      </c>
      <c r="H139" s="5">
        <v>1.06</v>
      </c>
      <c r="I139" t="s">
        <v>19</v>
      </c>
      <c r="J139">
        <v>1.5</v>
      </c>
      <c r="K139">
        <v>1</v>
      </c>
      <c r="L139">
        <v>1.2</v>
      </c>
      <c r="M139" s="4">
        <f>IF(E139&lt;&gt;"",IF(F139&lt;&gt;"",(E139/(F139+1))*J139*K139*L139,""),"")</f>
        <v>165.65625</v>
      </c>
      <c r="N139" t="str">
        <f>IF(M139&lt;&gt;"",IF(M139&gt;150,"Tier 1",IF(M139&gt;50,"Tier 2","Tier 3")),"")</f>
        <v>Tier 1</v>
      </c>
      <c r="O139" t="s">
        <v>749</v>
      </c>
    </row>
    <row r="140" spans="1:15" x14ac:dyDescent="0.25">
      <c r="A140" t="s">
        <v>615</v>
      </c>
      <c r="B140" t="s">
        <v>29</v>
      </c>
      <c r="C140" t="s">
        <v>623</v>
      </c>
      <c r="D140" t="s">
        <v>624</v>
      </c>
      <c r="E140" s="2">
        <v>4174</v>
      </c>
      <c r="F140" s="3">
        <v>32</v>
      </c>
      <c r="G140" s="4">
        <v>0.27</v>
      </c>
      <c r="H140" s="5">
        <v>0.73</v>
      </c>
      <c r="I140" t="s">
        <v>58</v>
      </c>
      <c r="J140">
        <v>1</v>
      </c>
      <c r="K140">
        <v>1.3</v>
      </c>
      <c r="L140">
        <v>1</v>
      </c>
      <c r="M140" s="4">
        <f>IF(E140&lt;&gt;"",IF(F140&lt;&gt;"",(E140/(F140+1))*J140*K140*L140,""),"")</f>
        <v>164.43030303030304</v>
      </c>
      <c r="N140" t="str">
        <f>IF(M140&lt;&gt;"",IF(M140&gt;150,"Tier 1",IF(M140&gt;50,"Tier 2","Tier 3")),"")</f>
        <v>Tier 1</v>
      </c>
      <c r="O140" t="s">
        <v>625</v>
      </c>
    </row>
    <row r="141" spans="1:15" x14ac:dyDescent="0.25">
      <c r="A141" t="s">
        <v>839</v>
      </c>
      <c r="B141" t="s">
        <v>47</v>
      </c>
      <c r="C141" t="s">
        <v>843</v>
      </c>
      <c r="D141" t="s">
        <v>862</v>
      </c>
      <c r="E141" s="2">
        <v>5538</v>
      </c>
      <c r="F141" s="3">
        <v>33</v>
      </c>
      <c r="G141" s="4">
        <v>0.27</v>
      </c>
      <c r="H141" s="5">
        <v>0.43</v>
      </c>
      <c r="I141" t="s">
        <v>19</v>
      </c>
      <c r="J141">
        <v>1</v>
      </c>
      <c r="K141">
        <v>1</v>
      </c>
      <c r="L141">
        <v>1</v>
      </c>
      <c r="M141" s="4">
        <f>IF(E141&lt;&gt;"",IF(F141&lt;&gt;"",(E141/(F141+1))*J141*K141*L141,""),"")</f>
        <v>162.88235294117646</v>
      </c>
      <c r="N141" t="str">
        <f>IF(M141&lt;&gt;"",IF(M141&gt;150,"Tier 1",IF(M141&gt;50,"Tier 2","Tier 3")),"")</f>
        <v>Tier 1</v>
      </c>
      <c r="O141" t="s">
        <v>863</v>
      </c>
    </row>
    <row r="142" spans="1:15" x14ac:dyDescent="0.25">
      <c r="A142" t="s">
        <v>519</v>
      </c>
      <c r="B142" t="s">
        <v>21</v>
      </c>
      <c r="C142" t="s">
        <v>523</v>
      </c>
      <c r="D142" t="s">
        <v>524</v>
      </c>
      <c r="E142" s="2">
        <v>3484</v>
      </c>
      <c r="F142" s="3">
        <v>34</v>
      </c>
      <c r="G142" s="4">
        <v>0.27</v>
      </c>
      <c r="H142" s="5">
        <v>0.8</v>
      </c>
      <c r="I142" t="s">
        <v>58</v>
      </c>
      <c r="J142">
        <v>1</v>
      </c>
      <c r="K142">
        <v>1.3</v>
      </c>
      <c r="L142">
        <v>1.2</v>
      </c>
      <c r="M142" s="4">
        <f>IF(E142&lt;&gt;"",IF(F142&lt;&gt;"",(E142/(F142+1))*J142*K142*L142,""),"")</f>
        <v>155.28685714285714</v>
      </c>
      <c r="N142" t="str">
        <f>IF(M142&lt;&gt;"",IF(M142&gt;150,"Tier 1",IF(M142&gt;50,"Tier 2","Tier 3")),"")</f>
        <v>Tier 1</v>
      </c>
      <c r="O142" t="s">
        <v>525</v>
      </c>
    </row>
    <row r="143" spans="1:15" x14ac:dyDescent="0.25">
      <c r="A143" t="s">
        <v>873</v>
      </c>
      <c r="B143" t="s">
        <v>43</v>
      </c>
      <c r="C143" t="s">
        <v>891</v>
      </c>
      <c r="D143" t="s">
        <v>892</v>
      </c>
      <c r="E143" s="2">
        <v>3540</v>
      </c>
      <c r="F143" s="3">
        <v>29</v>
      </c>
      <c r="G143" s="4">
        <v>0.27</v>
      </c>
      <c r="H143" s="5">
        <v>0.65</v>
      </c>
      <c r="I143" t="s">
        <v>58</v>
      </c>
      <c r="J143">
        <v>1</v>
      </c>
      <c r="K143">
        <v>1.3</v>
      </c>
      <c r="L143">
        <v>1</v>
      </c>
      <c r="M143" s="4">
        <f>IF(E143&lt;&gt;"",IF(F143&lt;&gt;"",(E143/(F143+1))*J143*K143*L143,""),"")</f>
        <v>153.4</v>
      </c>
      <c r="N143" t="str">
        <f>IF(M143&lt;&gt;"",IF(M143&gt;150,"Tier 1",IF(M143&gt;50,"Tier 2","Tier 3")),"")</f>
        <v>Tier 1</v>
      </c>
      <c r="O143" t="s">
        <v>893</v>
      </c>
    </row>
    <row r="144" spans="1:15" x14ac:dyDescent="0.25">
      <c r="A144" t="s">
        <v>583</v>
      </c>
      <c r="B144" t="s">
        <v>35</v>
      </c>
      <c r="C144" t="s">
        <v>595</v>
      </c>
      <c r="D144" t="s">
        <v>596</v>
      </c>
      <c r="E144" s="2">
        <v>3280</v>
      </c>
      <c r="F144" s="3">
        <v>32</v>
      </c>
      <c r="G144" s="4">
        <v>0.27</v>
      </c>
      <c r="H144" s="5">
        <v>1.1000000000000001</v>
      </c>
      <c r="I144" t="s">
        <v>19</v>
      </c>
      <c r="J144">
        <v>1.5</v>
      </c>
      <c r="K144">
        <v>1</v>
      </c>
      <c r="L144">
        <v>1</v>
      </c>
      <c r="M144" s="4">
        <f>IF(E144&lt;&gt;"",IF(F144&lt;&gt;"",(E144/(F144+1))*J144*K144*L144,""),"")</f>
        <v>149.09090909090909</v>
      </c>
      <c r="N144" t="str">
        <f>IF(M144&lt;&gt;"",IF(M144&gt;150,"Tier 1",IF(M144&gt;50,"Tier 2","Tier 3")),"")</f>
        <v>Tier 2</v>
      </c>
      <c r="O144" t="s">
        <v>597</v>
      </c>
    </row>
    <row r="145" spans="1:15" x14ac:dyDescent="0.25">
      <c r="A145" t="s">
        <v>807</v>
      </c>
      <c r="B145" t="s">
        <v>25</v>
      </c>
      <c r="C145" t="s">
        <v>808</v>
      </c>
      <c r="D145" t="s">
        <v>809</v>
      </c>
      <c r="E145" s="2">
        <v>2579</v>
      </c>
      <c r="F145" s="3">
        <v>26</v>
      </c>
      <c r="G145" s="4">
        <v>0.27</v>
      </c>
      <c r="H145" s="5">
        <v>0.65</v>
      </c>
      <c r="I145" t="s">
        <v>58</v>
      </c>
      <c r="J145">
        <v>1</v>
      </c>
      <c r="K145">
        <v>1.3</v>
      </c>
      <c r="L145">
        <v>1.2</v>
      </c>
      <c r="M145" s="4">
        <f>IF(E145&lt;&gt;"",IF(F145&lt;&gt;"",(E145/(F145+1))*J145*K145*L145,""),"")</f>
        <v>149.00888888888889</v>
      </c>
      <c r="N145" t="str">
        <f>IF(M145&lt;&gt;"",IF(M145&gt;150,"Tier 1",IF(M145&gt;50,"Tier 2","Tier 3")),"")</f>
        <v>Tier 2</v>
      </c>
      <c r="O145" t="s">
        <v>814</v>
      </c>
    </row>
    <row r="146" spans="1:15" x14ac:dyDescent="0.25">
      <c r="A146" t="s">
        <v>293</v>
      </c>
      <c r="B146" t="s">
        <v>21</v>
      </c>
      <c r="C146" t="s">
        <v>297</v>
      </c>
      <c r="D146" t="s">
        <v>298</v>
      </c>
      <c r="E146" s="2">
        <v>2769</v>
      </c>
      <c r="F146" s="3">
        <v>28</v>
      </c>
      <c r="G146" s="4">
        <v>0.27</v>
      </c>
      <c r="H146" s="5">
        <v>0.64</v>
      </c>
      <c r="I146" t="s">
        <v>58</v>
      </c>
      <c r="J146">
        <v>1</v>
      </c>
      <c r="K146">
        <v>1.3</v>
      </c>
      <c r="L146">
        <v>1.2</v>
      </c>
      <c r="M146" s="4">
        <f>IF(E146&lt;&gt;"",IF(F146&lt;&gt;"",(E146/(F146+1))*J146*K146*L146,""),"")</f>
        <v>148.95310344827587</v>
      </c>
      <c r="N146" t="str">
        <f>IF(M146&lt;&gt;"",IF(M146&gt;150,"Tier 1",IF(M146&gt;50,"Tier 2","Tier 3")),"")</f>
        <v>Tier 2</v>
      </c>
      <c r="O146" t="s">
        <v>299</v>
      </c>
    </row>
    <row r="147" spans="1:15" x14ac:dyDescent="0.25">
      <c r="A147" t="s">
        <v>455</v>
      </c>
      <c r="B147" t="s">
        <v>43</v>
      </c>
      <c r="C147" t="s">
        <v>473</v>
      </c>
      <c r="D147" t="s">
        <v>474</v>
      </c>
      <c r="E147" s="2">
        <v>3332</v>
      </c>
      <c r="F147" s="3">
        <v>23</v>
      </c>
      <c r="G147" s="4">
        <v>0.27</v>
      </c>
      <c r="H147" s="5">
        <v>0.32</v>
      </c>
      <c r="I147" t="s">
        <v>19</v>
      </c>
      <c r="J147">
        <v>1</v>
      </c>
      <c r="K147">
        <v>1</v>
      </c>
      <c r="L147">
        <v>1</v>
      </c>
      <c r="M147" s="4">
        <f>IF(E147&lt;&gt;"",IF(F147&lt;&gt;"",(E147/(F147+1))*J147*K147*L147,""),"")</f>
        <v>138.83333333333334</v>
      </c>
      <c r="N147" t="str">
        <f>IF(M147&lt;&gt;"",IF(M147&gt;150,"Tier 1",IF(M147&gt;50,"Tier 2","Tier 3")),"")</f>
        <v>Tier 2</v>
      </c>
      <c r="O147" t="s">
        <v>475</v>
      </c>
    </row>
    <row r="148" spans="1:15" x14ac:dyDescent="0.25">
      <c r="A148" t="s">
        <v>15</v>
      </c>
      <c r="B148" t="s">
        <v>60</v>
      </c>
      <c r="C148" t="s">
        <v>61</v>
      </c>
      <c r="D148" t="s">
        <v>62</v>
      </c>
      <c r="E148" s="2">
        <v>6471</v>
      </c>
      <c r="F148" s="3">
        <v>30</v>
      </c>
      <c r="G148" s="4">
        <v>0.27</v>
      </c>
      <c r="H148" s="5">
        <v>0.41</v>
      </c>
      <c r="I148" t="s">
        <v>63</v>
      </c>
      <c r="J148">
        <v>1</v>
      </c>
      <c r="K148">
        <v>0.8</v>
      </c>
      <c r="L148">
        <v>0.8</v>
      </c>
      <c r="M148" s="4">
        <f>IF(E148&lt;&gt;"",IF(F148&lt;&gt;"",(E148/(F148+1))*J148*K148*L148,""),"")</f>
        <v>133.59483870967742</v>
      </c>
      <c r="N148" t="str">
        <f>IF(M148&lt;&gt;"",IF(M148&gt;150,"Tier 1",IF(M148&gt;50,"Tier 2","Tier 3")),"")</f>
        <v>Tier 2</v>
      </c>
      <c r="O148" t="s">
        <v>64</v>
      </c>
    </row>
    <row r="149" spans="1:15" x14ac:dyDescent="0.25">
      <c r="A149" t="s">
        <v>551</v>
      </c>
      <c r="B149" t="s">
        <v>60</v>
      </c>
      <c r="C149" t="s">
        <v>580</v>
      </c>
      <c r="D149" t="s">
        <v>581</v>
      </c>
      <c r="E149" s="2">
        <v>2023</v>
      </c>
      <c r="F149" s="3">
        <v>27</v>
      </c>
      <c r="G149" s="4">
        <v>0.27</v>
      </c>
      <c r="H149" s="5">
        <v>1.05</v>
      </c>
      <c r="I149" t="s">
        <v>58</v>
      </c>
      <c r="J149">
        <v>1.5</v>
      </c>
      <c r="K149">
        <v>1.3</v>
      </c>
      <c r="L149">
        <v>0.8</v>
      </c>
      <c r="M149" s="4">
        <f>IF(E149&lt;&gt;"",IF(F149&lt;&gt;"",(E149/(F149+1))*J149*K149*L149,""),"")</f>
        <v>112.71000000000002</v>
      </c>
      <c r="N149" t="str">
        <f>IF(M149&lt;&gt;"",IF(M149&gt;150,"Tier 1",IF(M149&gt;50,"Tier 2","Tier 3")),"")</f>
        <v>Tier 2</v>
      </c>
      <c r="O149" t="s">
        <v>582</v>
      </c>
    </row>
    <row r="150" spans="1:15" x14ac:dyDescent="0.25">
      <c r="A150" t="s">
        <v>1101</v>
      </c>
      <c r="B150" t="s">
        <v>47</v>
      </c>
      <c r="C150" t="s">
        <v>1105</v>
      </c>
      <c r="D150" t="s">
        <v>1122</v>
      </c>
      <c r="E150" s="2">
        <v>2767</v>
      </c>
      <c r="F150" s="3">
        <v>24</v>
      </c>
      <c r="G150" s="4">
        <v>0.27</v>
      </c>
      <c r="H150" s="5">
        <v>0.51</v>
      </c>
      <c r="I150" t="s">
        <v>19</v>
      </c>
      <c r="J150">
        <v>1</v>
      </c>
      <c r="K150">
        <v>1</v>
      </c>
      <c r="L150">
        <v>1</v>
      </c>
      <c r="M150" s="4">
        <f>IF(E150&lt;&gt;"",IF(F150&lt;&gt;"",(E150/(F150+1))*J150*K150*L150,""),"")</f>
        <v>110.68</v>
      </c>
      <c r="N150" t="str">
        <f>IF(M150&lt;&gt;"",IF(M150&gt;150,"Tier 1",IF(M150&gt;50,"Tier 2","Tier 3")),"")</f>
        <v>Tier 2</v>
      </c>
      <c r="O150" t="s">
        <v>1123</v>
      </c>
    </row>
    <row r="151" spans="1:15" x14ac:dyDescent="0.25">
      <c r="A151" t="s">
        <v>973</v>
      </c>
      <c r="B151" t="s">
        <v>35</v>
      </c>
      <c r="C151" t="s">
        <v>985</v>
      </c>
      <c r="D151" t="s">
        <v>986</v>
      </c>
      <c r="E151" s="2">
        <v>2197</v>
      </c>
      <c r="F151" s="3">
        <v>25</v>
      </c>
      <c r="G151" s="4">
        <v>0.27</v>
      </c>
      <c r="H151" s="5">
        <v>0.75</v>
      </c>
      <c r="I151" t="s">
        <v>19</v>
      </c>
      <c r="J151">
        <v>1</v>
      </c>
      <c r="K151">
        <v>1</v>
      </c>
      <c r="L151">
        <v>1</v>
      </c>
      <c r="M151" s="4">
        <f>IF(E151&lt;&gt;"",IF(F151&lt;&gt;"",(E151/(F151+1))*J151*K151*L151,""),"")</f>
        <v>84.5</v>
      </c>
      <c r="N151" t="str">
        <f>IF(M151&lt;&gt;"",IF(M151&gt;150,"Tier 1",IF(M151&gt;50,"Tier 2","Tier 3")),"")</f>
        <v>Tier 2</v>
      </c>
      <c r="O151" t="s">
        <v>987</v>
      </c>
    </row>
    <row r="152" spans="1:15" x14ac:dyDescent="0.25">
      <c r="A152" t="s">
        <v>1037</v>
      </c>
      <c r="B152" t="s">
        <v>60</v>
      </c>
      <c r="C152" t="s">
        <v>1066</v>
      </c>
      <c r="D152" t="s">
        <v>1067</v>
      </c>
      <c r="E152" s="2">
        <v>2793</v>
      </c>
      <c r="F152" s="3">
        <v>26</v>
      </c>
      <c r="G152" s="4">
        <v>0.27</v>
      </c>
      <c r="H152" s="5">
        <v>0.6</v>
      </c>
      <c r="I152" t="s">
        <v>19</v>
      </c>
      <c r="J152">
        <v>1</v>
      </c>
      <c r="K152">
        <v>1</v>
      </c>
      <c r="L152">
        <v>0.8</v>
      </c>
      <c r="M152" s="4">
        <f>IF(E152&lt;&gt;"",IF(F152&lt;&gt;"",(E152/(F152+1))*J152*K152*L152,""),"")</f>
        <v>82.75555555555556</v>
      </c>
      <c r="N152" t="str">
        <f>IF(M152&lt;&gt;"",IF(M152&gt;150,"Tier 1",IF(M152&gt;50,"Tier 2","Tier 3")),"")</f>
        <v>Tier 2</v>
      </c>
      <c r="O152" t="s">
        <v>1068</v>
      </c>
    </row>
    <row r="153" spans="1:15" x14ac:dyDescent="0.25">
      <c r="A153" t="s">
        <v>1165</v>
      </c>
      <c r="B153" t="s">
        <v>60</v>
      </c>
      <c r="C153" t="s">
        <v>1194</v>
      </c>
      <c r="D153" t="s">
        <v>1195</v>
      </c>
      <c r="E153" s="2">
        <v>2037</v>
      </c>
      <c r="F153" s="3">
        <v>30</v>
      </c>
      <c r="G153" s="4">
        <v>0.27</v>
      </c>
      <c r="H153" s="5">
        <v>1.26</v>
      </c>
      <c r="I153" t="s">
        <v>19</v>
      </c>
      <c r="J153">
        <v>1.5</v>
      </c>
      <c r="K153">
        <v>1</v>
      </c>
      <c r="L153">
        <v>0.8</v>
      </c>
      <c r="M153" s="4">
        <f>IF(E153&lt;&gt;"",IF(F153&lt;&gt;"",(E153/(F153+1))*J153*K153*L153,""),"")</f>
        <v>78.851612903225814</v>
      </c>
      <c r="N153" t="str">
        <f>IF(M153&lt;&gt;"",IF(M153&gt;150,"Tier 1",IF(M153&gt;50,"Tier 2","Tier 3")),"")</f>
        <v>Tier 2</v>
      </c>
      <c r="O153" t="s">
        <v>1196</v>
      </c>
    </row>
    <row r="154" spans="1:15" x14ac:dyDescent="0.25">
      <c r="A154" t="s">
        <v>519</v>
      </c>
      <c r="B154" t="s">
        <v>43</v>
      </c>
      <c r="C154" t="s">
        <v>537</v>
      </c>
      <c r="D154" t="s">
        <v>538</v>
      </c>
      <c r="E154" s="2">
        <v>1400</v>
      </c>
      <c r="F154" s="3">
        <v>28</v>
      </c>
      <c r="G154" s="4">
        <v>0.27</v>
      </c>
      <c r="H154" s="5">
        <v>1.19</v>
      </c>
      <c r="I154" t="s">
        <v>63</v>
      </c>
      <c r="J154">
        <v>1.5</v>
      </c>
      <c r="K154">
        <v>0.8</v>
      </c>
      <c r="L154">
        <v>1</v>
      </c>
      <c r="M154" s="4">
        <f>IF(E154&lt;&gt;"",IF(F154&lt;&gt;"",(E154/(F154+1))*J154*K154*L154,""),"")</f>
        <v>57.931034482758619</v>
      </c>
      <c r="N154" t="str">
        <f>IF(M154&lt;&gt;"",IF(M154&gt;150,"Tier 1",IF(M154&gt;50,"Tier 2","Tier 3")),"")</f>
        <v>Tier 2</v>
      </c>
      <c r="O154" t="s">
        <v>539</v>
      </c>
    </row>
    <row r="155" spans="1:15" x14ac:dyDescent="0.25">
      <c r="A155" t="s">
        <v>743</v>
      </c>
      <c r="B155" t="s">
        <v>35</v>
      </c>
      <c r="C155" t="s">
        <v>755</v>
      </c>
      <c r="D155" t="s">
        <v>756</v>
      </c>
      <c r="E155" s="2">
        <v>1524</v>
      </c>
      <c r="F155" s="3">
        <v>26</v>
      </c>
      <c r="G155" s="4">
        <v>0.27</v>
      </c>
      <c r="H155" s="5">
        <v>0.81</v>
      </c>
      <c r="I155" t="s">
        <v>19</v>
      </c>
      <c r="J155">
        <v>1</v>
      </c>
      <c r="K155">
        <v>1</v>
      </c>
      <c r="L155">
        <v>1</v>
      </c>
      <c r="M155" s="4">
        <f>IF(E155&lt;&gt;"",IF(F155&lt;&gt;"",(E155/(F155+1))*J155*K155*L155,""),"")</f>
        <v>56.444444444444443</v>
      </c>
      <c r="N155" t="str">
        <f>IF(M155&lt;&gt;"",IF(M155&gt;150,"Tier 1",IF(M155&gt;50,"Tier 2","Tier 3")),"")</f>
        <v>Tier 2</v>
      </c>
      <c r="O155" t="s">
        <v>757</v>
      </c>
    </row>
    <row r="156" spans="1:15" x14ac:dyDescent="0.25">
      <c r="A156" t="s">
        <v>679</v>
      </c>
      <c r="B156" t="s">
        <v>39</v>
      </c>
      <c r="C156" t="s">
        <v>694</v>
      </c>
      <c r="D156" t="s">
        <v>695</v>
      </c>
      <c r="E156" s="2">
        <v>954</v>
      </c>
      <c r="F156" s="3">
        <v>26</v>
      </c>
      <c r="G156" s="4">
        <v>0.27</v>
      </c>
      <c r="H156" s="5">
        <v>1.05</v>
      </c>
      <c r="I156" t="s">
        <v>19</v>
      </c>
      <c r="J156">
        <v>1.5</v>
      </c>
      <c r="K156">
        <v>1</v>
      </c>
      <c r="L156">
        <v>1</v>
      </c>
      <c r="M156" s="4">
        <f>IF(E156&lt;&gt;"",IF(F156&lt;&gt;"",(E156/(F156+1))*J156*K156*L156,""),"")</f>
        <v>53</v>
      </c>
      <c r="N156" t="str">
        <f>IF(M156&lt;&gt;"",IF(M156&gt;150,"Tier 1",IF(M156&gt;50,"Tier 2","Tier 3")),"")</f>
        <v>Tier 2</v>
      </c>
      <c r="O156" t="s">
        <v>696</v>
      </c>
    </row>
    <row r="157" spans="1:15" x14ac:dyDescent="0.25">
      <c r="A157" t="s">
        <v>65</v>
      </c>
      <c r="B157" t="s">
        <v>47</v>
      </c>
      <c r="C157" t="s">
        <v>69</v>
      </c>
      <c r="D157" t="s">
        <v>86</v>
      </c>
      <c r="E157" s="2">
        <v>538</v>
      </c>
      <c r="F157" s="3">
        <v>28</v>
      </c>
      <c r="G157" s="4">
        <v>0.27</v>
      </c>
      <c r="H157" s="5">
        <v>0.53</v>
      </c>
      <c r="I157" t="s">
        <v>19</v>
      </c>
      <c r="J157">
        <v>1</v>
      </c>
      <c r="K157">
        <v>1</v>
      </c>
      <c r="L157">
        <v>1</v>
      </c>
      <c r="M157" s="4">
        <f>IF(E157&lt;&gt;"",IF(F157&lt;&gt;"",(E157/(F157+1))*J157*K157*L157,""),"")</f>
        <v>18.551724137931036</v>
      </c>
      <c r="N157" t="str">
        <f>IF(M157&lt;&gt;"",IF(M157&gt;150,"Tier 1",IF(M157&gt;50,"Tier 2","Tier 3")),"")</f>
        <v>Tier 3</v>
      </c>
      <c r="O157" t="s">
        <v>87</v>
      </c>
    </row>
    <row r="158" spans="1:15" x14ac:dyDescent="0.25">
      <c r="A158" t="s">
        <v>197</v>
      </c>
      <c r="B158" t="s">
        <v>55</v>
      </c>
      <c r="C158" t="s">
        <v>223</v>
      </c>
      <c r="D158" t="s">
        <v>224</v>
      </c>
      <c r="E158" s="2">
        <v>539</v>
      </c>
      <c r="F158" s="3">
        <v>24</v>
      </c>
      <c r="G158" s="4">
        <v>0.27</v>
      </c>
      <c r="H158" s="5">
        <v>0.46</v>
      </c>
      <c r="I158" t="s">
        <v>19</v>
      </c>
      <c r="J158">
        <v>1</v>
      </c>
      <c r="K158">
        <v>1</v>
      </c>
      <c r="L158">
        <v>0.8</v>
      </c>
      <c r="M158" s="4">
        <f>IF(E158&lt;&gt;"",IF(F158&lt;&gt;"",(E158/(F158+1))*J158*K158*L158,""),"")</f>
        <v>17.248000000000001</v>
      </c>
      <c r="N158" t="str">
        <f>IF(M158&lt;&gt;"",IF(M158&gt;150,"Tier 1",IF(M158&gt;50,"Tier 2","Tier 3")),"")</f>
        <v>Tier 3</v>
      </c>
      <c r="O158" t="s">
        <v>225</v>
      </c>
    </row>
    <row r="159" spans="1:15" x14ac:dyDescent="0.25">
      <c r="A159" t="s">
        <v>15</v>
      </c>
      <c r="B159" t="s">
        <v>33</v>
      </c>
      <c r="C159" t="s">
        <v>22</v>
      </c>
      <c r="D159" t="s">
        <v>23</v>
      </c>
      <c r="E159" s="2">
        <v>11802</v>
      </c>
      <c r="F159" s="3">
        <v>25</v>
      </c>
      <c r="G159" s="4">
        <v>0.28000000000000003</v>
      </c>
      <c r="H159" s="5">
        <v>0.36</v>
      </c>
      <c r="I159" t="s">
        <v>19</v>
      </c>
      <c r="J159">
        <v>1</v>
      </c>
      <c r="K159">
        <v>1</v>
      </c>
      <c r="L159">
        <v>1.2</v>
      </c>
      <c r="M159" s="4">
        <f>IF(E159&lt;&gt;"",IF(F159&lt;&gt;"",(E159/(F159+1))*J159*K159*L159,""),"")</f>
        <v>544.70769230769224</v>
      </c>
      <c r="N159" t="str">
        <f>IF(M159&lt;&gt;"",IF(M159&gt;150,"Tier 1",IF(M159&gt;50,"Tier 2","Tier 3")),"")</f>
        <v>Tier 1</v>
      </c>
      <c r="O159" t="s">
        <v>34</v>
      </c>
    </row>
    <row r="160" spans="1:15" x14ac:dyDescent="0.25">
      <c r="A160" t="s">
        <v>775</v>
      </c>
      <c r="B160" t="s">
        <v>60</v>
      </c>
      <c r="C160" t="s">
        <v>804</v>
      </c>
      <c r="D160" t="s">
        <v>805</v>
      </c>
      <c r="E160" s="2">
        <v>6244</v>
      </c>
      <c r="F160" s="3">
        <v>26</v>
      </c>
      <c r="G160" s="4">
        <v>0.28000000000000003</v>
      </c>
      <c r="H160" s="5">
        <v>1.31</v>
      </c>
      <c r="I160" t="s">
        <v>58</v>
      </c>
      <c r="J160">
        <v>1.5</v>
      </c>
      <c r="K160">
        <v>1.3</v>
      </c>
      <c r="L160">
        <v>0.8</v>
      </c>
      <c r="M160" s="4">
        <f>IF(E160&lt;&gt;"",IF(F160&lt;&gt;"",(E160/(F160+1))*J160*K160*L160,""),"")</f>
        <v>360.76444444444451</v>
      </c>
      <c r="N160" t="str">
        <f>IF(M160&lt;&gt;"",IF(M160&gt;150,"Tier 1",IF(M160&gt;50,"Tier 2","Tier 3")),"")</f>
        <v>Tier 1</v>
      </c>
      <c r="O160" t="s">
        <v>806</v>
      </c>
    </row>
    <row r="161" spans="1:15" x14ac:dyDescent="0.25">
      <c r="A161" t="s">
        <v>615</v>
      </c>
      <c r="B161" t="s">
        <v>33</v>
      </c>
      <c r="C161" t="s">
        <v>619</v>
      </c>
      <c r="D161" t="s">
        <v>620</v>
      </c>
      <c r="E161" s="2">
        <v>5752</v>
      </c>
      <c r="F161" s="3">
        <v>25</v>
      </c>
      <c r="G161" s="4">
        <v>0.28000000000000003</v>
      </c>
      <c r="H161" s="5">
        <v>0.75</v>
      </c>
      <c r="I161" t="s">
        <v>19</v>
      </c>
      <c r="J161">
        <v>1</v>
      </c>
      <c r="K161">
        <v>1</v>
      </c>
      <c r="L161">
        <v>1.2</v>
      </c>
      <c r="M161" s="4">
        <f>IF(E161&lt;&gt;"",IF(F161&lt;&gt;"",(E161/(F161+1))*J161*K161*L161,""),"")</f>
        <v>265.47692307692307</v>
      </c>
      <c r="N161" t="str">
        <f>IF(M161&lt;&gt;"",IF(M161&gt;150,"Tier 1",IF(M161&gt;50,"Tier 2","Tier 3")),"")</f>
        <v>Tier 1</v>
      </c>
      <c r="O161" t="s">
        <v>626</v>
      </c>
    </row>
    <row r="162" spans="1:15" x14ac:dyDescent="0.25">
      <c r="A162" t="s">
        <v>973</v>
      </c>
      <c r="B162" t="s">
        <v>33</v>
      </c>
      <c r="C162" t="s">
        <v>977</v>
      </c>
      <c r="D162" t="s">
        <v>978</v>
      </c>
      <c r="E162" s="2">
        <v>3252</v>
      </c>
      <c r="F162" s="3">
        <v>28</v>
      </c>
      <c r="G162" s="4">
        <v>0.28000000000000003</v>
      </c>
      <c r="H162" s="5">
        <v>1.17</v>
      </c>
      <c r="I162" t="s">
        <v>58</v>
      </c>
      <c r="J162">
        <v>1.5</v>
      </c>
      <c r="K162">
        <v>1.3</v>
      </c>
      <c r="L162">
        <v>1.2</v>
      </c>
      <c r="M162" s="4">
        <f>IF(E162&lt;&gt;"",IF(F162&lt;&gt;"",(E162/(F162+1))*J162*K162*L162,""),"")</f>
        <v>262.40275862068961</v>
      </c>
      <c r="N162" t="str">
        <f>IF(M162&lt;&gt;"",IF(M162&gt;150,"Tier 1",IF(M162&gt;50,"Tier 2","Tier 3")),"")</f>
        <v>Tier 1</v>
      </c>
      <c r="O162" t="s">
        <v>984</v>
      </c>
    </row>
    <row r="163" spans="1:15" x14ac:dyDescent="0.25">
      <c r="A163" t="s">
        <v>455</v>
      </c>
      <c r="B163" t="s">
        <v>16</v>
      </c>
      <c r="C163" t="s">
        <v>456</v>
      </c>
      <c r="D163" t="s">
        <v>457</v>
      </c>
      <c r="E163" s="2">
        <v>8348</v>
      </c>
      <c r="F163" s="3">
        <v>31</v>
      </c>
      <c r="G163" s="4">
        <v>0.28000000000000003</v>
      </c>
      <c r="H163" s="5">
        <v>0.23</v>
      </c>
      <c r="I163" t="s">
        <v>63</v>
      </c>
      <c r="J163">
        <v>1</v>
      </c>
      <c r="K163">
        <v>0.8</v>
      </c>
      <c r="L163">
        <v>1.2</v>
      </c>
      <c r="M163" s="4">
        <f>IF(E163&lt;&gt;"",IF(F163&lt;&gt;"",(E163/(F163+1))*J163*K163*L163,""),"")</f>
        <v>250.44</v>
      </c>
      <c r="N163" t="str">
        <f>IF(M163&lt;&gt;"",IF(M163&gt;150,"Tier 1",IF(M163&gt;50,"Tier 2","Tier 3")),"")</f>
        <v>Tier 1</v>
      </c>
      <c r="O163" t="s">
        <v>458</v>
      </c>
    </row>
    <row r="164" spans="1:15" x14ac:dyDescent="0.25">
      <c r="A164" t="s">
        <v>229</v>
      </c>
      <c r="B164" t="s">
        <v>39</v>
      </c>
      <c r="C164" t="s">
        <v>244</v>
      </c>
      <c r="D164" t="s">
        <v>245</v>
      </c>
      <c r="E164" s="2">
        <v>4007</v>
      </c>
      <c r="F164" s="3">
        <v>33</v>
      </c>
      <c r="G164" s="4">
        <v>0.28000000000000003</v>
      </c>
      <c r="H164" s="5">
        <v>1.58</v>
      </c>
      <c r="I164" t="s">
        <v>58</v>
      </c>
      <c r="J164">
        <v>1.5</v>
      </c>
      <c r="K164">
        <v>1.3</v>
      </c>
      <c r="L164">
        <v>1</v>
      </c>
      <c r="M164" s="4">
        <f>IF(E164&lt;&gt;"",IF(F164&lt;&gt;"",(E164/(F164+1))*J164*K164*L164,""),"")</f>
        <v>229.81323529411765</v>
      </c>
      <c r="N164" t="str">
        <f>IF(M164&lt;&gt;"",IF(M164&gt;150,"Tier 1",IF(M164&gt;50,"Tier 2","Tier 3")),"")</f>
        <v>Tier 1</v>
      </c>
      <c r="O164" t="s">
        <v>246</v>
      </c>
    </row>
    <row r="165" spans="1:15" x14ac:dyDescent="0.25">
      <c r="A165" t="s">
        <v>905</v>
      </c>
      <c r="B165" t="s">
        <v>51</v>
      </c>
      <c r="C165" t="s">
        <v>932</v>
      </c>
      <c r="D165" t="s">
        <v>933</v>
      </c>
      <c r="E165" s="2">
        <v>5862</v>
      </c>
      <c r="F165" s="3">
        <v>33</v>
      </c>
      <c r="G165" s="4">
        <v>0.28000000000000003</v>
      </c>
      <c r="H165" s="5">
        <v>1.4</v>
      </c>
      <c r="I165" t="s">
        <v>19</v>
      </c>
      <c r="J165">
        <v>1.5</v>
      </c>
      <c r="K165">
        <v>1</v>
      </c>
      <c r="L165">
        <v>0.8</v>
      </c>
      <c r="M165" s="4">
        <f>IF(E165&lt;&gt;"",IF(F165&lt;&gt;"",(E165/(F165+1))*J165*K165*L165,""),"")</f>
        <v>206.89411764705883</v>
      </c>
      <c r="N165" t="str">
        <f>IF(M165&lt;&gt;"",IF(M165&gt;150,"Tier 1",IF(M165&gt;50,"Tier 2","Tier 3")),"")</f>
        <v>Tier 1</v>
      </c>
      <c r="O165" t="s">
        <v>934</v>
      </c>
    </row>
    <row r="166" spans="1:15" x14ac:dyDescent="0.25">
      <c r="A166" t="s">
        <v>487</v>
      </c>
      <c r="B166" t="s">
        <v>35</v>
      </c>
      <c r="C166" t="s">
        <v>499</v>
      </c>
      <c r="D166" t="s">
        <v>500</v>
      </c>
      <c r="E166" s="2">
        <v>3894</v>
      </c>
      <c r="F166" s="3">
        <v>30</v>
      </c>
      <c r="G166" s="4">
        <v>0.28000000000000003</v>
      </c>
      <c r="H166" s="5">
        <v>1.1599999999999999</v>
      </c>
      <c r="I166" t="s">
        <v>19</v>
      </c>
      <c r="J166">
        <v>1.5</v>
      </c>
      <c r="K166">
        <v>1</v>
      </c>
      <c r="L166">
        <v>1</v>
      </c>
      <c r="M166" s="4">
        <f>IF(E166&lt;&gt;"",IF(F166&lt;&gt;"",(E166/(F166+1))*J166*K166*L166,""),"")</f>
        <v>188.41935483870967</v>
      </c>
      <c r="N166" t="str">
        <f>IF(M166&lt;&gt;"",IF(M166&gt;150,"Tier 1",IF(M166&gt;50,"Tier 2","Tier 3")),"")</f>
        <v>Tier 1</v>
      </c>
      <c r="O166" t="s">
        <v>501</v>
      </c>
    </row>
    <row r="167" spans="1:15" x14ac:dyDescent="0.25">
      <c r="A167" t="s">
        <v>519</v>
      </c>
      <c r="B167" t="s">
        <v>25</v>
      </c>
      <c r="C167" t="s">
        <v>520</v>
      </c>
      <c r="D167" t="s">
        <v>521</v>
      </c>
      <c r="E167" s="2">
        <v>2761</v>
      </c>
      <c r="F167" s="3">
        <v>28</v>
      </c>
      <c r="G167" s="4">
        <v>0.28000000000000003</v>
      </c>
      <c r="H167" s="5">
        <v>1.38</v>
      </c>
      <c r="I167" t="s">
        <v>19</v>
      </c>
      <c r="J167">
        <v>1.5</v>
      </c>
      <c r="K167">
        <v>1</v>
      </c>
      <c r="L167">
        <v>1.2</v>
      </c>
      <c r="M167" s="4">
        <f>IF(E167&lt;&gt;"",IF(F167&lt;&gt;"",(E167/(F167+1))*J167*K167*L167,""),"")</f>
        <v>171.37241379310345</v>
      </c>
      <c r="N167" t="str">
        <f>IF(M167&lt;&gt;"",IF(M167&gt;150,"Tier 1",IF(M167&gt;50,"Tier 2","Tier 3")),"")</f>
        <v>Tier 1</v>
      </c>
      <c r="O167" t="s">
        <v>526</v>
      </c>
    </row>
    <row r="168" spans="1:15" x14ac:dyDescent="0.25">
      <c r="A168" t="s">
        <v>487</v>
      </c>
      <c r="B168" t="s">
        <v>29</v>
      </c>
      <c r="C168" t="s">
        <v>495</v>
      </c>
      <c r="D168" t="s">
        <v>496</v>
      </c>
      <c r="E168" s="2">
        <v>3581</v>
      </c>
      <c r="F168" s="3">
        <v>31</v>
      </c>
      <c r="G168" s="4">
        <v>0.28000000000000003</v>
      </c>
      <c r="H168" s="5">
        <v>1.01</v>
      </c>
      <c r="I168" t="s">
        <v>19</v>
      </c>
      <c r="J168">
        <v>1.5</v>
      </c>
      <c r="K168">
        <v>1</v>
      </c>
      <c r="L168">
        <v>1</v>
      </c>
      <c r="M168" s="4">
        <f>IF(E168&lt;&gt;"",IF(F168&lt;&gt;"",(E168/(F168+1))*J168*K168*L168,""),"")</f>
        <v>167.859375</v>
      </c>
      <c r="N168" t="str">
        <f>IF(M168&lt;&gt;"",IF(M168&gt;150,"Tier 1",IF(M168&gt;50,"Tier 2","Tier 3")),"")</f>
        <v>Tier 1</v>
      </c>
      <c r="O168" t="s">
        <v>497</v>
      </c>
    </row>
    <row r="169" spans="1:15" x14ac:dyDescent="0.25">
      <c r="A169" t="s">
        <v>679</v>
      </c>
      <c r="B169" t="s">
        <v>21</v>
      </c>
      <c r="C169" t="s">
        <v>683</v>
      </c>
      <c r="D169" t="s">
        <v>684</v>
      </c>
      <c r="E169" s="2">
        <v>2537</v>
      </c>
      <c r="F169" s="3">
        <v>32</v>
      </c>
      <c r="G169" s="4">
        <v>0.28000000000000003</v>
      </c>
      <c r="H169" s="5">
        <v>1.24</v>
      </c>
      <c r="I169" t="s">
        <v>19</v>
      </c>
      <c r="J169">
        <v>1.5</v>
      </c>
      <c r="K169">
        <v>1</v>
      </c>
      <c r="L169">
        <v>1.2</v>
      </c>
      <c r="M169" s="4">
        <f>IF(E169&lt;&gt;"",IF(F169&lt;&gt;"",(E169/(F169+1))*J169*K169*L169,""),"")</f>
        <v>138.38181818181818</v>
      </c>
      <c r="N169" t="str">
        <f>IF(M169&lt;&gt;"",IF(M169&gt;150,"Tier 1",IF(M169&gt;50,"Tier 2","Tier 3")),"")</f>
        <v>Tier 2</v>
      </c>
      <c r="O169" t="s">
        <v>685</v>
      </c>
    </row>
    <row r="170" spans="1:15" x14ac:dyDescent="0.25">
      <c r="A170" t="s">
        <v>941</v>
      </c>
      <c r="B170" t="s">
        <v>29</v>
      </c>
      <c r="C170" t="s">
        <v>949</v>
      </c>
      <c r="D170" t="s">
        <v>950</v>
      </c>
      <c r="E170" s="2">
        <v>2749</v>
      </c>
      <c r="F170" s="3">
        <v>33</v>
      </c>
      <c r="G170" s="4">
        <v>0.28000000000000003</v>
      </c>
      <c r="H170" s="5">
        <v>1.1299999999999999</v>
      </c>
      <c r="I170" t="s">
        <v>19</v>
      </c>
      <c r="J170">
        <v>1.5</v>
      </c>
      <c r="K170">
        <v>1</v>
      </c>
      <c r="L170">
        <v>1</v>
      </c>
      <c r="M170" s="4">
        <f>IF(E170&lt;&gt;"",IF(F170&lt;&gt;"",(E170/(F170+1))*J170*K170*L170,""),"")</f>
        <v>121.27941176470588</v>
      </c>
      <c r="N170" t="str">
        <f>IF(M170&lt;&gt;"",IF(M170&gt;150,"Tier 1",IF(M170&gt;50,"Tier 2","Tier 3")),"")</f>
        <v>Tier 2</v>
      </c>
      <c r="O170" t="s">
        <v>951</v>
      </c>
    </row>
    <row r="171" spans="1:15" x14ac:dyDescent="0.25">
      <c r="A171" t="s">
        <v>973</v>
      </c>
      <c r="B171" t="s">
        <v>29</v>
      </c>
      <c r="C171" t="s">
        <v>981</v>
      </c>
      <c r="D171" t="s">
        <v>982</v>
      </c>
      <c r="E171" s="2">
        <v>2281</v>
      </c>
      <c r="F171" s="3">
        <v>34</v>
      </c>
      <c r="G171" s="4">
        <v>0.28000000000000003</v>
      </c>
      <c r="H171" s="5">
        <v>1.23</v>
      </c>
      <c r="I171" t="s">
        <v>19</v>
      </c>
      <c r="J171">
        <v>1.5</v>
      </c>
      <c r="K171">
        <v>1</v>
      </c>
      <c r="L171">
        <v>1</v>
      </c>
      <c r="M171" s="4">
        <f>IF(E171&lt;&gt;"",IF(F171&lt;&gt;"",(E171/(F171+1))*J171*K171*L171,""),"")</f>
        <v>97.757142857142867</v>
      </c>
      <c r="N171" t="str">
        <f>IF(M171&lt;&gt;"",IF(M171&gt;150,"Tier 1",IF(M171&gt;50,"Tier 2","Tier 3")),"")</f>
        <v>Tier 2</v>
      </c>
      <c r="O171" t="s">
        <v>983</v>
      </c>
    </row>
    <row r="172" spans="1:15" x14ac:dyDescent="0.25">
      <c r="A172" t="s">
        <v>293</v>
      </c>
      <c r="B172" t="s">
        <v>16</v>
      </c>
      <c r="C172" t="s">
        <v>294</v>
      </c>
      <c r="D172" t="s">
        <v>295</v>
      </c>
      <c r="E172" s="2">
        <v>2065</v>
      </c>
      <c r="F172" s="3">
        <v>27</v>
      </c>
      <c r="G172" s="4">
        <v>0.28000000000000003</v>
      </c>
      <c r="H172" s="5">
        <v>0.95</v>
      </c>
      <c r="I172" t="s">
        <v>19</v>
      </c>
      <c r="J172">
        <v>1</v>
      </c>
      <c r="K172">
        <v>1</v>
      </c>
      <c r="L172">
        <v>1.2</v>
      </c>
      <c r="M172" s="4">
        <f>IF(E172&lt;&gt;"",IF(F172&lt;&gt;"",(E172/(F172+1))*J172*K172*L172,""),"")</f>
        <v>88.5</v>
      </c>
      <c r="N172" t="str">
        <f>IF(M172&lt;&gt;"",IF(M172&gt;150,"Tier 1",IF(M172&gt;50,"Tier 2","Tier 3")),"")</f>
        <v>Tier 2</v>
      </c>
      <c r="O172" t="s">
        <v>296</v>
      </c>
    </row>
    <row r="173" spans="1:15" x14ac:dyDescent="0.25">
      <c r="A173" t="s">
        <v>583</v>
      </c>
      <c r="B173" t="s">
        <v>51</v>
      </c>
      <c r="C173" t="s">
        <v>606</v>
      </c>
      <c r="D173" t="s">
        <v>607</v>
      </c>
      <c r="E173" s="2">
        <v>2343</v>
      </c>
      <c r="F173" s="3">
        <v>29</v>
      </c>
      <c r="G173" s="4">
        <v>0.28000000000000003</v>
      </c>
      <c r="H173" s="5">
        <v>1.22</v>
      </c>
      <c r="I173" t="s">
        <v>63</v>
      </c>
      <c r="J173">
        <v>1.5</v>
      </c>
      <c r="K173">
        <v>0.8</v>
      </c>
      <c r="L173">
        <v>0.8</v>
      </c>
      <c r="M173" s="4">
        <f>IF(E173&lt;&gt;"",IF(F173&lt;&gt;"",(E173/(F173+1))*J173*K173*L173,""),"")</f>
        <v>74.975999999999999</v>
      </c>
      <c r="N173" t="str">
        <f>IF(M173&lt;&gt;"",IF(M173&gt;150,"Tier 1",IF(M173&gt;50,"Tier 2","Tier 3")),"")</f>
        <v>Tier 2</v>
      </c>
      <c r="O173" t="s">
        <v>608</v>
      </c>
    </row>
    <row r="174" spans="1:15" x14ac:dyDescent="0.25">
      <c r="A174" t="s">
        <v>65</v>
      </c>
      <c r="B174" t="s">
        <v>16</v>
      </c>
      <c r="C174" t="s">
        <v>66</v>
      </c>
      <c r="D174" t="s">
        <v>67</v>
      </c>
      <c r="E174" s="2">
        <v>1629</v>
      </c>
      <c r="F174" s="3">
        <v>27</v>
      </c>
      <c r="G174" s="4">
        <v>0.28000000000000003</v>
      </c>
      <c r="H174" s="5">
        <v>0.77</v>
      </c>
      <c r="I174" t="s">
        <v>19</v>
      </c>
      <c r="J174">
        <v>1</v>
      </c>
      <c r="K174">
        <v>1</v>
      </c>
      <c r="L174">
        <v>1.2</v>
      </c>
      <c r="M174" s="4">
        <f>IF(E174&lt;&gt;"",IF(F174&lt;&gt;"",(E174/(F174+1))*J174*K174*L174,""),"")</f>
        <v>69.814285714285717</v>
      </c>
      <c r="N174" t="str">
        <f>IF(M174&lt;&gt;"",IF(M174&gt;150,"Tier 1",IF(M174&gt;50,"Tier 2","Tier 3")),"")</f>
        <v>Tier 2</v>
      </c>
      <c r="O174" t="s">
        <v>68</v>
      </c>
    </row>
    <row r="175" spans="1:15" x14ac:dyDescent="0.25">
      <c r="A175" t="s">
        <v>293</v>
      </c>
      <c r="B175" t="s">
        <v>60</v>
      </c>
      <c r="C175" t="s">
        <v>322</v>
      </c>
      <c r="D175" t="s">
        <v>323</v>
      </c>
      <c r="E175" s="2">
        <v>1176</v>
      </c>
      <c r="F175" s="3">
        <v>26</v>
      </c>
      <c r="G175" s="4">
        <v>0.28000000000000003</v>
      </c>
      <c r="H175" s="5">
        <v>1.01</v>
      </c>
      <c r="I175" t="s">
        <v>63</v>
      </c>
      <c r="J175">
        <v>1.5</v>
      </c>
      <c r="K175">
        <v>0.8</v>
      </c>
      <c r="L175">
        <v>0.8</v>
      </c>
      <c r="M175" s="4">
        <f>IF(E175&lt;&gt;"",IF(F175&lt;&gt;"",(E175/(F175+1))*J175*K175*L175,""),"")</f>
        <v>41.813333333333347</v>
      </c>
      <c r="N175" t="str">
        <f>IF(M175&lt;&gt;"",IF(M175&gt;150,"Tier 1",IF(M175&gt;50,"Tier 2","Tier 3")),"")</f>
        <v>Tier 3</v>
      </c>
      <c r="O175" t="s">
        <v>324</v>
      </c>
    </row>
    <row r="176" spans="1:15" x14ac:dyDescent="0.25">
      <c r="A176" t="s">
        <v>1133</v>
      </c>
      <c r="B176" t="s">
        <v>47</v>
      </c>
      <c r="C176" t="s">
        <v>1137</v>
      </c>
      <c r="D176" t="s">
        <v>1154</v>
      </c>
      <c r="E176" s="2">
        <v>1327</v>
      </c>
      <c r="F176" s="3">
        <v>33</v>
      </c>
      <c r="G176" s="4">
        <v>0.28000000000000003</v>
      </c>
      <c r="H176" s="5">
        <v>0.96</v>
      </c>
      <c r="I176" t="s">
        <v>19</v>
      </c>
      <c r="J176">
        <v>1</v>
      </c>
      <c r="K176">
        <v>1</v>
      </c>
      <c r="L176">
        <v>1</v>
      </c>
      <c r="M176" s="4">
        <f>IF(E176&lt;&gt;"",IF(F176&lt;&gt;"",(E176/(F176+1))*J176*K176*L176,""),"")</f>
        <v>39.029411764705884</v>
      </c>
      <c r="N176" t="str">
        <f>IF(M176&lt;&gt;"",IF(M176&gt;150,"Tier 1",IF(M176&gt;50,"Tier 2","Tier 3")),"")</f>
        <v>Tier 3</v>
      </c>
      <c r="O176" t="s">
        <v>1155</v>
      </c>
    </row>
    <row r="177" spans="1:15" x14ac:dyDescent="0.25">
      <c r="A177" t="s">
        <v>743</v>
      </c>
      <c r="B177" t="s">
        <v>60</v>
      </c>
      <c r="C177" t="s">
        <v>772</v>
      </c>
      <c r="D177" t="s">
        <v>773</v>
      </c>
      <c r="E177" s="2">
        <v>1260</v>
      </c>
      <c r="F177" s="3">
        <v>32</v>
      </c>
      <c r="G177" s="4">
        <v>0.28000000000000003</v>
      </c>
      <c r="H177" s="5">
        <v>0.75</v>
      </c>
      <c r="I177" t="s">
        <v>19</v>
      </c>
      <c r="J177">
        <v>1</v>
      </c>
      <c r="K177">
        <v>1</v>
      </c>
      <c r="L177">
        <v>0.8</v>
      </c>
      <c r="M177" s="4">
        <f>IF(E177&lt;&gt;"",IF(F177&lt;&gt;"",(E177/(F177+1))*J177*K177*L177,""),"")</f>
        <v>30.545454545454547</v>
      </c>
      <c r="N177" t="str">
        <f>IF(M177&lt;&gt;"",IF(M177&gt;150,"Tier 1",IF(M177&gt;50,"Tier 2","Tier 3")),"")</f>
        <v>Tier 3</v>
      </c>
      <c r="O177" t="s">
        <v>774</v>
      </c>
    </row>
    <row r="178" spans="1:15" x14ac:dyDescent="0.25">
      <c r="A178" t="s">
        <v>647</v>
      </c>
      <c r="B178" t="s">
        <v>25</v>
      </c>
      <c r="C178" t="s">
        <v>648</v>
      </c>
      <c r="D178" t="s">
        <v>649</v>
      </c>
      <c r="E178" s="2">
        <v>6786</v>
      </c>
      <c r="F178" s="3">
        <v>35</v>
      </c>
      <c r="G178" s="4">
        <v>0.28999999999999998</v>
      </c>
      <c r="H178" s="5">
        <v>1.02</v>
      </c>
      <c r="I178" t="s">
        <v>58</v>
      </c>
      <c r="J178">
        <v>1.5</v>
      </c>
      <c r="K178">
        <v>1.3</v>
      </c>
      <c r="L178">
        <v>1.2</v>
      </c>
      <c r="M178" s="4">
        <f>IF(E178&lt;&gt;"",IF(F178&lt;&gt;"",(E178/(F178+1))*J178*K178*L178,""),"")</f>
        <v>441.09</v>
      </c>
      <c r="N178" t="str">
        <f>IF(M178&lt;&gt;"",IF(M178&gt;150,"Tier 1",IF(M178&gt;50,"Tier 2","Tier 3")),"")</f>
        <v>Tier 1</v>
      </c>
      <c r="O178" t="s">
        <v>654</v>
      </c>
    </row>
    <row r="179" spans="1:15" x14ac:dyDescent="0.25">
      <c r="A179" t="s">
        <v>941</v>
      </c>
      <c r="B179" t="s">
        <v>21</v>
      </c>
      <c r="C179" t="s">
        <v>945</v>
      </c>
      <c r="D179" t="s">
        <v>946</v>
      </c>
      <c r="E179" s="2">
        <v>5484</v>
      </c>
      <c r="F179" s="3">
        <v>33</v>
      </c>
      <c r="G179" s="4">
        <v>0.28999999999999998</v>
      </c>
      <c r="H179" s="5">
        <v>1.19</v>
      </c>
      <c r="I179" t="s">
        <v>58</v>
      </c>
      <c r="J179">
        <v>1.5</v>
      </c>
      <c r="K179">
        <v>1.3</v>
      </c>
      <c r="L179">
        <v>1.2</v>
      </c>
      <c r="M179" s="4">
        <f>IF(E179&lt;&gt;"",IF(F179&lt;&gt;"",(E179/(F179+1))*J179*K179*L179,""),"")</f>
        <v>377.4282352941176</v>
      </c>
      <c r="N179" t="str">
        <f>IF(M179&lt;&gt;"",IF(M179&gt;150,"Tier 1",IF(M179&gt;50,"Tier 2","Tier 3")),"")</f>
        <v>Tier 1</v>
      </c>
      <c r="O179" t="s">
        <v>947</v>
      </c>
    </row>
    <row r="180" spans="1:15" x14ac:dyDescent="0.25">
      <c r="A180" t="s">
        <v>941</v>
      </c>
      <c r="B180" t="s">
        <v>16</v>
      </c>
      <c r="C180" t="s">
        <v>942</v>
      </c>
      <c r="D180" t="s">
        <v>943</v>
      </c>
      <c r="E180" s="2">
        <v>4067</v>
      </c>
      <c r="F180" s="3">
        <v>27</v>
      </c>
      <c r="G180" s="4">
        <v>0.28999999999999998</v>
      </c>
      <c r="H180" s="5">
        <v>1.1599999999999999</v>
      </c>
      <c r="I180" t="s">
        <v>58</v>
      </c>
      <c r="J180">
        <v>1.5</v>
      </c>
      <c r="K180">
        <v>1.3</v>
      </c>
      <c r="L180">
        <v>1.2</v>
      </c>
      <c r="M180" s="4">
        <f>IF(E180&lt;&gt;"",IF(F180&lt;&gt;"",(E180/(F180+1))*J180*K180*L180,""),"")</f>
        <v>339.88499999999999</v>
      </c>
      <c r="N180" t="str">
        <f>IF(M180&lt;&gt;"",IF(M180&gt;150,"Tier 1",IF(M180&gt;50,"Tier 2","Tier 3")),"")</f>
        <v>Tier 1</v>
      </c>
      <c r="O180" t="s">
        <v>944</v>
      </c>
    </row>
    <row r="181" spans="1:15" x14ac:dyDescent="0.25">
      <c r="A181" t="s">
        <v>1037</v>
      </c>
      <c r="B181" t="s">
        <v>21</v>
      </c>
      <c r="C181" t="s">
        <v>1041</v>
      </c>
      <c r="D181" t="s">
        <v>1042</v>
      </c>
      <c r="E181" s="2">
        <v>5085</v>
      </c>
      <c r="F181" s="3">
        <v>28</v>
      </c>
      <c r="G181" s="4">
        <v>0.28999999999999998</v>
      </c>
      <c r="H181" s="5">
        <v>0.9</v>
      </c>
      <c r="I181" t="s">
        <v>58</v>
      </c>
      <c r="J181">
        <v>1</v>
      </c>
      <c r="K181">
        <v>1.3</v>
      </c>
      <c r="L181">
        <v>1.2</v>
      </c>
      <c r="M181" s="4">
        <f>IF(E181&lt;&gt;"",IF(F181&lt;&gt;"",(E181/(F181+1))*J181*K181*L181,""),"")</f>
        <v>273.53793103448271</v>
      </c>
      <c r="N181" t="str">
        <f>IF(M181&lt;&gt;"",IF(M181&gt;150,"Tier 1",IF(M181&gt;50,"Tier 2","Tier 3")),"")</f>
        <v>Tier 1</v>
      </c>
      <c r="O181" t="s">
        <v>1043</v>
      </c>
    </row>
    <row r="182" spans="1:15" x14ac:dyDescent="0.25">
      <c r="A182" t="s">
        <v>391</v>
      </c>
      <c r="B182" t="s">
        <v>16</v>
      </c>
      <c r="C182" t="s">
        <v>392</v>
      </c>
      <c r="D182" t="s">
        <v>393</v>
      </c>
      <c r="E182" s="2">
        <v>4419</v>
      </c>
      <c r="F182" s="3">
        <v>31</v>
      </c>
      <c r="G182" s="4">
        <v>0.28999999999999998</v>
      </c>
      <c r="H182" s="5">
        <v>1.27</v>
      </c>
      <c r="I182" t="s">
        <v>19</v>
      </c>
      <c r="J182">
        <v>1.5</v>
      </c>
      <c r="K182">
        <v>1</v>
      </c>
      <c r="L182">
        <v>1.2</v>
      </c>
      <c r="M182" s="4">
        <f>IF(E182&lt;&gt;"",IF(F182&lt;&gt;"",(E182/(F182+1))*J182*K182*L182,""),"")</f>
        <v>248.56874999999999</v>
      </c>
      <c r="N182" t="str">
        <f>IF(M182&lt;&gt;"",IF(M182&gt;150,"Tier 1",IF(M182&gt;50,"Tier 2","Tier 3")),"")</f>
        <v>Tier 1</v>
      </c>
      <c r="O182" t="s">
        <v>394</v>
      </c>
    </row>
    <row r="183" spans="1:15" x14ac:dyDescent="0.25">
      <c r="A183" t="s">
        <v>839</v>
      </c>
      <c r="B183" t="s">
        <v>51</v>
      </c>
      <c r="C183" t="s">
        <v>864</v>
      </c>
      <c r="D183" t="s">
        <v>865</v>
      </c>
      <c r="E183" s="2">
        <v>7566</v>
      </c>
      <c r="F183" s="3">
        <v>36</v>
      </c>
      <c r="G183" s="4">
        <v>0.28999999999999998</v>
      </c>
      <c r="H183" s="5">
        <v>0.56000000000000005</v>
      </c>
      <c r="I183" t="s">
        <v>19</v>
      </c>
      <c r="J183">
        <v>1</v>
      </c>
      <c r="K183">
        <v>1</v>
      </c>
      <c r="L183">
        <v>0.8</v>
      </c>
      <c r="M183" s="4">
        <f>IF(E183&lt;&gt;"",IF(F183&lt;&gt;"",(E183/(F183+1))*J183*K183*L183,""),"")</f>
        <v>163.5891891891892</v>
      </c>
      <c r="N183" t="str">
        <f>IF(M183&lt;&gt;"",IF(M183&gt;150,"Tier 1",IF(M183&gt;50,"Tier 2","Tier 3")),"")</f>
        <v>Tier 1</v>
      </c>
      <c r="O183" t="s">
        <v>866</v>
      </c>
    </row>
    <row r="184" spans="1:15" x14ac:dyDescent="0.25">
      <c r="A184" t="s">
        <v>615</v>
      </c>
      <c r="B184" t="s">
        <v>35</v>
      </c>
      <c r="C184" t="s">
        <v>627</v>
      </c>
      <c r="D184" t="s">
        <v>628</v>
      </c>
      <c r="E184" s="2">
        <v>3853</v>
      </c>
      <c r="F184" s="3">
        <v>26</v>
      </c>
      <c r="G184" s="4">
        <v>0.28999999999999998</v>
      </c>
      <c r="H184" s="5">
        <v>0.93</v>
      </c>
      <c r="I184" t="s">
        <v>19</v>
      </c>
      <c r="J184">
        <v>1</v>
      </c>
      <c r="K184">
        <v>1</v>
      </c>
      <c r="L184">
        <v>1</v>
      </c>
      <c r="M184" s="4">
        <f>IF(E184&lt;&gt;"",IF(F184&lt;&gt;"",(E184/(F184+1))*J184*K184*L184,""),"")</f>
        <v>142.7037037037037</v>
      </c>
      <c r="N184" t="str">
        <f>IF(M184&lt;&gt;"",IF(M184&gt;150,"Tier 1",IF(M184&gt;50,"Tier 2","Tier 3")),"")</f>
        <v>Tier 2</v>
      </c>
      <c r="O184" t="s">
        <v>629</v>
      </c>
    </row>
    <row r="185" spans="1:15" x14ac:dyDescent="0.25">
      <c r="A185" t="s">
        <v>391</v>
      </c>
      <c r="B185" t="s">
        <v>25</v>
      </c>
      <c r="C185" t="s">
        <v>392</v>
      </c>
      <c r="D185" t="s">
        <v>393</v>
      </c>
      <c r="E185" s="2">
        <v>3796</v>
      </c>
      <c r="F185" s="3">
        <v>32</v>
      </c>
      <c r="G185" s="4">
        <v>0.28999999999999998</v>
      </c>
      <c r="H185" s="5">
        <v>0.9</v>
      </c>
      <c r="I185" t="s">
        <v>19</v>
      </c>
      <c r="J185">
        <v>1</v>
      </c>
      <c r="K185">
        <v>1</v>
      </c>
      <c r="L185">
        <v>1.2</v>
      </c>
      <c r="M185" s="4">
        <f>IF(E185&lt;&gt;"",IF(F185&lt;&gt;"",(E185/(F185+1))*J185*K185*L185,""),"")</f>
        <v>138.03636363636363</v>
      </c>
      <c r="N185" t="str">
        <f>IF(M185&lt;&gt;"",IF(M185&gt;150,"Tier 1",IF(M185&gt;50,"Tier 2","Tier 3")),"")</f>
        <v>Tier 2</v>
      </c>
      <c r="O185" t="s">
        <v>398</v>
      </c>
    </row>
    <row r="186" spans="1:15" x14ac:dyDescent="0.25">
      <c r="A186" t="s">
        <v>325</v>
      </c>
      <c r="B186" t="s">
        <v>21</v>
      </c>
      <c r="C186" t="s">
        <v>329</v>
      </c>
      <c r="D186" t="s">
        <v>330</v>
      </c>
      <c r="E186" s="2">
        <v>2780</v>
      </c>
      <c r="F186" s="3">
        <v>30</v>
      </c>
      <c r="G186" s="4">
        <v>0.28999999999999998</v>
      </c>
      <c r="H186" s="5">
        <v>0.84</v>
      </c>
      <c r="I186" t="s">
        <v>19</v>
      </c>
      <c r="J186">
        <v>1</v>
      </c>
      <c r="K186">
        <v>1</v>
      </c>
      <c r="L186">
        <v>1.2</v>
      </c>
      <c r="M186" s="4">
        <f>IF(E186&lt;&gt;"",IF(F186&lt;&gt;"",(E186/(F186+1))*J186*K186*L186,""),"")</f>
        <v>107.61290322580645</v>
      </c>
      <c r="N186" t="str">
        <f>IF(M186&lt;&gt;"",IF(M186&gt;150,"Tier 1",IF(M186&gt;50,"Tier 2","Tier 3")),"")</f>
        <v>Tier 2</v>
      </c>
      <c r="O186" t="s">
        <v>331</v>
      </c>
    </row>
    <row r="187" spans="1:15" x14ac:dyDescent="0.25">
      <c r="A187" t="s">
        <v>551</v>
      </c>
      <c r="B187" t="s">
        <v>39</v>
      </c>
      <c r="C187" t="s">
        <v>566</v>
      </c>
      <c r="D187" t="s">
        <v>567</v>
      </c>
      <c r="E187" s="2">
        <v>1878</v>
      </c>
      <c r="F187" s="3">
        <v>26</v>
      </c>
      <c r="G187" s="4">
        <v>0.28999999999999998</v>
      </c>
      <c r="H187" s="5">
        <v>0.68</v>
      </c>
      <c r="I187" t="s">
        <v>58</v>
      </c>
      <c r="J187">
        <v>1</v>
      </c>
      <c r="K187">
        <v>1.3</v>
      </c>
      <c r="L187">
        <v>1</v>
      </c>
      <c r="M187" s="4">
        <f>IF(E187&lt;&gt;"",IF(F187&lt;&gt;"",(E187/(F187+1))*J187*K187*L187,""),"")</f>
        <v>90.422222222222231</v>
      </c>
      <c r="N187" t="str">
        <f>IF(M187&lt;&gt;"",IF(M187&gt;150,"Tier 1",IF(M187&gt;50,"Tier 2","Tier 3")),"")</f>
        <v>Tier 2</v>
      </c>
      <c r="O187" t="s">
        <v>568</v>
      </c>
    </row>
    <row r="188" spans="1:15" x14ac:dyDescent="0.25">
      <c r="A188" t="s">
        <v>391</v>
      </c>
      <c r="B188" t="s">
        <v>47</v>
      </c>
      <c r="C188" t="s">
        <v>395</v>
      </c>
      <c r="D188" t="s">
        <v>412</v>
      </c>
      <c r="E188" s="2">
        <v>1541</v>
      </c>
      <c r="F188" s="3">
        <v>28</v>
      </c>
      <c r="G188" s="4">
        <v>0.28999999999999998</v>
      </c>
      <c r="H188" s="5">
        <v>1.18</v>
      </c>
      <c r="I188" t="s">
        <v>19</v>
      </c>
      <c r="J188">
        <v>1.5</v>
      </c>
      <c r="K188">
        <v>1</v>
      </c>
      <c r="L188">
        <v>1</v>
      </c>
      <c r="M188" s="4">
        <f>IF(E188&lt;&gt;"",IF(F188&lt;&gt;"",(E188/(F188+1))*J188*K188*L188,""),"")</f>
        <v>79.706896551724142</v>
      </c>
      <c r="N188" t="str">
        <f>IF(M188&lt;&gt;"",IF(M188&gt;150,"Tier 1",IF(M188&gt;50,"Tier 2","Tier 3")),"")</f>
        <v>Tier 2</v>
      </c>
      <c r="O188" t="s">
        <v>413</v>
      </c>
    </row>
    <row r="189" spans="1:15" x14ac:dyDescent="0.25">
      <c r="A189" t="s">
        <v>679</v>
      </c>
      <c r="B189" t="s">
        <v>16</v>
      </c>
      <c r="C189" t="s">
        <v>680</v>
      </c>
      <c r="D189" t="s">
        <v>681</v>
      </c>
      <c r="E189" s="2">
        <v>2309</v>
      </c>
      <c r="F189" s="3">
        <v>35</v>
      </c>
      <c r="G189" s="4">
        <v>0.28999999999999998</v>
      </c>
      <c r="H189" s="5">
        <v>0.97</v>
      </c>
      <c r="I189" t="s">
        <v>19</v>
      </c>
      <c r="J189">
        <v>1</v>
      </c>
      <c r="K189">
        <v>1</v>
      </c>
      <c r="L189">
        <v>1.2</v>
      </c>
      <c r="M189" s="4">
        <f>IF(E189&lt;&gt;"",IF(F189&lt;&gt;"",(E189/(F189+1))*J189*K189*L189,""),"")</f>
        <v>76.966666666666654</v>
      </c>
      <c r="N189" t="str">
        <f>IF(M189&lt;&gt;"",IF(M189&gt;150,"Tier 1",IF(M189&gt;50,"Tier 2","Tier 3")),"")</f>
        <v>Tier 2</v>
      </c>
      <c r="O189" t="s">
        <v>682</v>
      </c>
    </row>
    <row r="190" spans="1:15" x14ac:dyDescent="0.25">
      <c r="A190" t="s">
        <v>293</v>
      </c>
      <c r="B190" t="s">
        <v>33</v>
      </c>
      <c r="C190" t="s">
        <v>297</v>
      </c>
      <c r="D190" t="s">
        <v>298</v>
      </c>
      <c r="E190" s="2">
        <v>1564</v>
      </c>
      <c r="F190" s="3">
        <v>25</v>
      </c>
      <c r="G190" s="4">
        <v>0.28999999999999998</v>
      </c>
      <c r="H190" s="5">
        <v>0.59</v>
      </c>
      <c r="I190" t="s">
        <v>19</v>
      </c>
      <c r="J190">
        <v>1</v>
      </c>
      <c r="K190">
        <v>1</v>
      </c>
      <c r="L190">
        <v>1.2</v>
      </c>
      <c r="M190" s="4">
        <f>IF(E190&lt;&gt;"",IF(F190&lt;&gt;"",(E190/(F190+1))*J190*K190*L190,""),"")</f>
        <v>72.184615384615384</v>
      </c>
      <c r="N190" t="str">
        <f>IF(M190&lt;&gt;"",IF(M190&gt;150,"Tier 1",IF(M190&gt;50,"Tier 2","Tier 3")),"")</f>
        <v>Tier 2</v>
      </c>
      <c r="O190" t="s">
        <v>304</v>
      </c>
    </row>
    <row r="191" spans="1:15" x14ac:dyDescent="0.25">
      <c r="A191" t="s">
        <v>487</v>
      </c>
      <c r="B191" t="s">
        <v>47</v>
      </c>
      <c r="C191" t="s">
        <v>491</v>
      </c>
      <c r="D191" t="s">
        <v>508</v>
      </c>
      <c r="E191" s="2">
        <v>2157</v>
      </c>
      <c r="F191" s="3">
        <v>30</v>
      </c>
      <c r="G191" s="4">
        <v>0.28999999999999998</v>
      </c>
      <c r="H191" s="5">
        <v>0.86</v>
      </c>
      <c r="I191" t="s">
        <v>19</v>
      </c>
      <c r="J191">
        <v>1</v>
      </c>
      <c r="K191">
        <v>1</v>
      </c>
      <c r="L191">
        <v>1</v>
      </c>
      <c r="M191" s="4">
        <f>IF(E191&lt;&gt;"",IF(F191&lt;&gt;"",(E191/(F191+1))*J191*K191*L191,""),"")</f>
        <v>69.58064516129032</v>
      </c>
      <c r="N191" t="str">
        <f>IF(M191&lt;&gt;"",IF(M191&gt;150,"Tier 1",IF(M191&gt;50,"Tier 2","Tier 3")),"")</f>
        <v>Tier 2</v>
      </c>
      <c r="O191" t="s">
        <v>509</v>
      </c>
    </row>
    <row r="192" spans="1:15" x14ac:dyDescent="0.25">
      <c r="A192" t="s">
        <v>1133</v>
      </c>
      <c r="B192" t="s">
        <v>60</v>
      </c>
      <c r="C192" t="s">
        <v>1162</v>
      </c>
      <c r="D192" t="s">
        <v>1163</v>
      </c>
      <c r="E192" s="2">
        <v>2048</v>
      </c>
      <c r="F192" s="3">
        <v>32</v>
      </c>
      <c r="G192" s="4">
        <v>0.28999999999999998</v>
      </c>
      <c r="H192" s="5">
        <v>0.8</v>
      </c>
      <c r="I192" t="s">
        <v>19</v>
      </c>
      <c r="J192">
        <v>1</v>
      </c>
      <c r="K192">
        <v>1</v>
      </c>
      <c r="L192">
        <v>0.8</v>
      </c>
      <c r="M192" s="4">
        <f>IF(E192&lt;&gt;"",IF(F192&lt;&gt;"",(E192/(F192+1))*J192*K192*L192,""),"")</f>
        <v>49.648484848484856</v>
      </c>
      <c r="N192" t="str">
        <f>IF(M192&lt;&gt;"",IF(M192&gt;150,"Tier 1",IF(M192&gt;50,"Tier 2","Tier 3")),"")</f>
        <v>Tier 3</v>
      </c>
      <c r="O192" t="s">
        <v>1164</v>
      </c>
    </row>
    <row r="193" spans="1:15" x14ac:dyDescent="0.25">
      <c r="A193" t="s">
        <v>197</v>
      </c>
      <c r="B193" t="s">
        <v>43</v>
      </c>
      <c r="C193" t="s">
        <v>215</v>
      </c>
      <c r="D193" t="s">
        <v>216</v>
      </c>
      <c r="E193" s="2">
        <v>1130</v>
      </c>
      <c r="F193" s="3">
        <v>24</v>
      </c>
      <c r="G193" s="4">
        <v>0.28999999999999998</v>
      </c>
      <c r="H193" s="5">
        <v>0.21</v>
      </c>
      <c r="I193" t="s">
        <v>19</v>
      </c>
      <c r="J193">
        <v>1</v>
      </c>
      <c r="K193">
        <v>1</v>
      </c>
      <c r="L193">
        <v>1</v>
      </c>
      <c r="M193" s="4">
        <f>IF(E193&lt;&gt;"",IF(F193&lt;&gt;"",(E193/(F193+1))*J193*K193*L193,""),"")</f>
        <v>45.2</v>
      </c>
      <c r="N193" t="str">
        <f>IF(M193&lt;&gt;"",IF(M193&gt;150,"Tier 1",IF(M193&gt;50,"Tier 2","Tier 3")),"")</f>
        <v>Tier 3</v>
      </c>
      <c r="O193" t="s">
        <v>217</v>
      </c>
    </row>
    <row r="194" spans="1:15" x14ac:dyDescent="0.25">
      <c r="A194" t="s">
        <v>973</v>
      </c>
      <c r="B194" t="s">
        <v>55</v>
      </c>
      <c r="C194" t="s">
        <v>999</v>
      </c>
      <c r="D194" t="s">
        <v>1000</v>
      </c>
      <c r="E194" s="2">
        <v>721</v>
      </c>
      <c r="F194" s="3">
        <v>26</v>
      </c>
      <c r="G194" s="4">
        <v>0.28999999999999998</v>
      </c>
      <c r="H194" s="5">
        <v>1.26</v>
      </c>
      <c r="I194" t="s">
        <v>58</v>
      </c>
      <c r="J194">
        <v>1.5</v>
      </c>
      <c r="K194">
        <v>1.3</v>
      </c>
      <c r="L194">
        <v>0.8</v>
      </c>
      <c r="M194" s="4">
        <f>IF(E194&lt;&gt;"",IF(F194&lt;&gt;"",(E194/(F194+1))*J194*K194*L194,""),"")</f>
        <v>41.657777777777781</v>
      </c>
      <c r="N194" t="str">
        <f>IF(M194&lt;&gt;"",IF(M194&gt;150,"Tier 1",IF(M194&gt;50,"Tier 2","Tier 3")),"")</f>
        <v>Tier 3</v>
      </c>
      <c r="O194" t="s">
        <v>1001</v>
      </c>
    </row>
    <row r="195" spans="1:15" x14ac:dyDescent="0.25">
      <c r="A195" t="s">
        <v>679</v>
      </c>
      <c r="B195" t="s">
        <v>51</v>
      </c>
      <c r="C195" t="s">
        <v>702</v>
      </c>
      <c r="D195" t="s">
        <v>703</v>
      </c>
      <c r="E195" s="2">
        <v>979</v>
      </c>
      <c r="F195" s="3">
        <v>25</v>
      </c>
      <c r="G195" s="4">
        <v>0.28999999999999998</v>
      </c>
      <c r="H195" s="5">
        <v>0.87</v>
      </c>
      <c r="I195" t="s">
        <v>58</v>
      </c>
      <c r="J195">
        <v>1</v>
      </c>
      <c r="K195">
        <v>1.3</v>
      </c>
      <c r="L195">
        <v>0.8</v>
      </c>
      <c r="M195" s="4">
        <f>IF(E195&lt;&gt;"",IF(F195&lt;&gt;"",(E195/(F195+1))*J195*K195*L195,""),"")</f>
        <v>39.160000000000004</v>
      </c>
      <c r="N195" t="str">
        <f>IF(M195&lt;&gt;"",IF(M195&gt;150,"Tier 1",IF(M195&gt;50,"Tier 2","Tier 3")),"")</f>
        <v>Tier 3</v>
      </c>
      <c r="O195" t="s">
        <v>704</v>
      </c>
    </row>
    <row r="196" spans="1:15" x14ac:dyDescent="0.25">
      <c r="A196" t="s">
        <v>1037</v>
      </c>
      <c r="B196" t="s">
        <v>55</v>
      </c>
      <c r="C196" t="s">
        <v>1063</v>
      </c>
      <c r="D196" t="s">
        <v>1064</v>
      </c>
      <c r="E196" s="2">
        <v>914</v>
      </c>
      <c r="F196" s="3">
        <v>27</v>
      </c>
      <c r="G196" s="4">
        <v>0.28999999999999998</v>
      </c>
      <c r="H196" s="5">
        <v>0.93</v>
      </c>
      <c r="I196" t="s">
        <v>58</v>
      </c>
      <c r="J196">
        <v>1</v>
      </c>
      <c r="K196">
        <v>1.3</v>
      </c>
      <c r="L196">
        <v>0.8</v>
      </c>
      <c r="M196" s="4">
        <f>IF(E196&lt;&gt;"",IF(F196&lt;&gt;"",(E196/(F196+1))*J196*K196*L196,""),"")</f>
        <v>33.948571428571434</v>
      </c>
      <c r="N196" t="str">
        <f>IF(M196&lt;&gt;"",IF(M196&gt;150,"Tier 1",IF(M196&gt;50,"Tier 2","Tier 3")),"")</f>
        <v>Tier 3</v>
      </c>
      <c r="O196" t="s">
        <v>1065</v>
      </c>
    </row>
    <row r="197" spans="1:15" x14ac:dyDescent="0.25">
      <c r="A197" t="s">
        <v>391</v>
      </c>
      <c r="B197" t="s">
        <v>55</v>
      </c>
      <c r="C197" t="s">
        <v>417</v>
      </c>
      <c r="D197" t="s">
        <v>418</v>
      </c>
      <c r="E197" s="2">
        <v>913</v>
      </c>
      <c r="F197" s="3">
        <v>35</v>
      </c>
      <c r="G197" s="4">
        <v>0.28999999999999998</v>
      </c>
      <c r="H197" s="5">
        <v>1.3</v>
      </c>
      <c r="I197" t="s">
        <v>19</v>
      </c>
      <c r="J197">
        <v>1.5</v>
      </c>
      <c r="K197">
        <v>1</v>
      </c>
      <c r="L197">
        <v>0.8</v>
      </c>
      <c r="M197" s="4">
        <f>IF(E197&lt;&gt;"",IF(F197&lt;&gt;"",(E197/(F197+1))*J197*K197*L197,""),"")</f>
        <v>30.433333333333334</v>
      </c>
      <c r="N197" t="str">
        <f>IF(M197&lt;&gt;"",IF(M197&gt;150,"Tier 1",IF(M197&gt;50,"Tier 2","Tier 3")),"")</f>
        <v>Tier 3</v>
      </c>
      <c r="O197" t="s">
        <v>419</v>
      </c>
    </row>
    <row r="198" spans="1:15" x14ac:dyDescent="0.25">
      <c r="A198" t="s">
        <v>1133</v>
      </c>
      <c r="B198" t="s">
        <v>55</v>
      </c>
      <c r="C198" t="s">
        <v>1159</v>
      </c>
      <c r="D198" t="s">
        <v>1160</v>
      </c>
      <c r="E198" s="2">
        <v>701</v>
      </c>
      <c r="F198" s="3">
        <v>35</v>
      </c>
      <c r="G198" s="4">
        <v>0.28999999999999998</v>
      </c>
      <c r="H198" s="5">
        <v>1.17</v>
      </c>
      <c r="I198" t="s">
        <v>58</v>
      </c>
      <c r="J198">
        <v>1.5</v>
      </c>
      <c r="K198">
        <v>1.3</v>
      </c>
      <c r="L198">
        <v>0.8</v>
      </c>
      <c r="M198" s="4">
        <f>IF(E198&lt;&gt;"",IF(F198&lt;&gt;"",(E198/(F198+1))*J198*K198*L198,""),"")</f>
        <v>30.376666666666665</v>
      </c>
      <c r="N198" t="str">
        <f>IF(M198&lt;&gt;"",IF(M198&gt;150,"Tier 1",IF(M198&gt;50,"Tier 2","Tier 3")),"")</f>
        <v>Tier 3</v>
      </c>
      <c r="O198" t="s">
        <v>1161</v>
      </c>
    </row>
    <row r="199" spans="1:15" x14ac:dyDescent="0.25">
      <c r="A199" t="s">
        <v>1101</v>
      </c>
      <c r="B199" t="s">
        <v>33</v>
      </c>
      <c r="C199" t="s">
        <v>1105</v>
      </c>
      <c r="D199" t="s">
        <v>1106</v>
      </c>
      <c r="E199" s="2">
        <v>5703</v>
      </c>
      <c r="F199" s="3">
        <v>25</v>
      </c>
      <c r="G199" s="4">
        <v>0.3</v>
      </c>
      <c r="H199" s="5">
        <v>0.52</v>
      </c>
      <c r="I199" t="s">
        <v>19</v>
      </c>
      <c r="J199">
        <v>1</v>
      </c>
      <c r="K199">
        <v>1</v>
      </c>
      <c r="L199">
        <v>1.2</v>
      </c>
      <c r="M199" s="4">
        <f>IF(E199&lt;&gt;"",IF(F199&lt;&gt;"",(E199/(F199+1))*J199*K199*L199,""),"")</f>
        <v>263.21538461538461</v>
      </c>
      <c r="N199" t="str">
        <f>IF(M199&lt;&gt;"",IF(M199&gt;150,"Tier 1",IF(M199&gt;50,"Tier 2","Tier 3")),"")</f>
        <v>Tier 1</v>
      </c>
      <c r="O199" t="s">
        <v>1112</v>
      </c>
    </row>
    <row r="200" spans="1:15" x14ac:dyDescent="0.25">
      <c r="A200" t="s">
        <v>1005</v>
      </c>
      <c r="B200" t="s">
        <v>33</v>
      </c>
      <c r="C200" t="s">
        <v>1009</v>
      </c>
      <c r="D200" t="s">
        <v>1010</v>
      </c>
      <c r="E200" s="2">
        <v>5182</v>
      </c>
      <c r="F200" s="3">
        <v>36</v>
      </c>
      <c r="G200" s="4">
        <v>0.3</v>
      </c>
      <c r="H200" s="5">
        <v>1.3</v>
      </c>
      <c r="I200" t="s">
        <v>19</v>
      </c>
      <c r="J200">
        <v>1.5</v>
      </c>
      <c r="K200">
        <v>1</v>
      </c>
      <c r="L200">
        <v>1.2</v>
      </c>
      <c r="M200" s="4">
        <f>IF(E200&lt;&gt;"",IF(F200&lt;&gt;"",(E200/(F200+1))*J200*K200*L200,""),"")</f>
        <v>252.0972972972973</v>
      </c>
      <c r="N200" t="str">
        <f>IF(M200&lt;&gt;"",IF(M200&gt;150,"Tier 1",IF(M200&gt;50,"Tier 2","Tier 3")),"")</f>
        <v>Tier 1</v>
      </c>
      <c r="O200" t="s">
        <v>1016</v>
      </c>
    </row>
    <row r="201" spans="1:15" x14ac:dyDescent="0.25">
      <c r="A201" t="s">
        <v>647</v>
      </c>
      <c r="B201" t="s">
        <v>39</v>
      </c>
      <c r="C201" t="s">
        <v>662</v>
      </c>
      <c r="D201" t="s">
        <v>663</v>
      </c>
      <c r="E201" s="2">
        <v>4122</v>
      </c>
      <c r="F201" s="3">
        <v>31</v>
      </c>
      <c r="G201" s="4">
        <v>0.3</v>
      </c>
      <c r="H201" s="5">
        <v>1.75</v>
      </c>
      <c r="I201" t="s">
        <v>19</v>
      </c>
      <c r="J201">
        <v>1.5</v>
      </c>
      <c r="K201">
        <v>1</v>
      </c>
      <c r="L201">
        <v>1</v>
      </c>
      <c r="M201" s="4">
        <f>IF(E201&lt;&gt;"",IF(F201&lt;&gt;"",(E201/(F201+1))*J201*K201*L201,""),"")</f>
        <v>193.21875</v>
      </c>
      <c r="N201" t="str">
        <f>IF(M201&lt;&gt;"",IF(M201&gt;150,"Tier 1",IF(M201&gt;50,"Tier 2","Tier 3")),"")</f>
        <v>Tier 1</v>
      </c>
      <c r="O201" t="s">
        <v>664</v>
      </c>
    </row>
    <row r="202" spans="1:15" x14ac:dyDescent="0.25">
      <c r="A202" t="s">
        <v>423</v>
      </c>
      <c r="B202" t="s">
        <v>33</v>
      </c>
      <c r="C202" t="s">
        <v>427</v>
      </c>
      <c r="D202" t="s">
        <v>428</v>
      </c>
      <c r="E202" s="2">
        <v>3097</v>
      </c>
      <c r="F202" s="3">
        <v>36</v>
      </c>
      <c r="G202" s="4">
        <v>0.3</v>
      </c>
      <c r="H202" s="5">
        <v>0.75</v>
      </c>
      <c r="I202" t="s">
        <v>19</v>
      </c>
      <c r="J202">
        <v>1</v>
      </c>
      <c r="K202">
        <v>1</v>
      </c>
      <c r="L202">
        <v>1.2</v>
      </c>
      <c r="M202" s="4">
        <f>IF(E202&lt;&gt;"",IF(F202&lt;&gt;"",(E202/(F202+1))*J202*K202*L202,""),"")</f>
        <v>100.44324324324324</v>
      </c>
      <c r="N202" t="str">
        <f>IF(M202&lt;&gt;"",IF(M202&gt;150,"Tier 1",IF(M202&gt;50,"Tier 2","Tier 3")),"")</f>
        <v>Tier 2</v>
      </c>
      <c r="O202" t="s">
        <v>434</v>
      </c>
    </row>
    <row r="203" spans="1:15" x14ac:dyDescent="0.25">
      <c r="A203" t="s">
        <v>1101</v>
      </c>
      <c r="B203" t="s">
        <v>60</v>
      </c>
      <c r="C203" t="s">
        <v>1130</v>
      </c>
      <c r="D203" t="s">
        <v>1131</v>
      </c>
      <c r="E203" s="2">
        <v>3762</v>
      </c>
      <c r="F203" s="3">
        <v>29</v>
      </c>
      <c r="G203" s="4">
        <v>0.3</v>
      </c>
      <c r="H203" s="5">
        <v>0.4</v>
      </c>
      <c r="I203" t="s">
        <v>19</v>
      </c>
      <c r="J203">
        <v>1</v>
      </c>
      <c r="K203">
        <v>1</v>
      </c>
      <c r="L203">
        <v>0.8</v>
      </c>
      <c r="M203" s="4">
        <f>IF(E203&lt;&gt;"",IF(F203&lt;&gt;"",(E203/(F203+1))*J203*K203*L203,""),"")</f>
        <v>100.32000000000001</v>
      </c>
      <c r="N203" t="str">
        <f>IF(M203&lt;&gt;"",IF(M203&gt;150,"Tier 1",IF(M203&gt;50,"Tier 2","Tier 3")),"")</f>
        <v>Tier 2</v>
      </c>
      <c r="O203" t="s">
        <v>1132</v>
      </c>
    </row>
    <row r="204" spans="1:15" x14ac:dyDescent="0.25">
      <c r="A204" t="s">
        <v>839</v>
      </c>
      <c r="B204" t="s">
        <v>55</v>
      </c>
      <c r="C204" t="s">
        <v>867</v>
      </c>
      <c r="D204" t="s">
        <v>868</v>
      </c>
      <c r="E204" s="2">
        <v>3188</v>
      </c>
      <c r="F204" s="3">
        <v>33</v>
      </c>
      <c r="G204" s="4">
        <v>0.3</v>
      </c>
      <c r="H204" s="5">
        <v>0.26</v>
      </c>
      <c r="I204" t="s">
        <v>58</v>
      </c>
      <c r="J204">
        <v>1</v>
      </c>
      <c r="K204">
        <v>1.3</v>
      </c>
      <c r="L204">
        <v>0.8</v>
      </c>
      <c r="M204" s="4">
        <f>IF(E204&lt;&gt;"",IF(F204&lt;&gt;"",(E204/(F204+1))*J204*K204*L204,""),"")</f>
        <v>97.515294117647073</v>
      </c>
      <c r="N204" t="str">
        <f>IF(M204&lt;&gt;"",IF(M204&gt;150,"Tier 1",IF(M204&gt;50,"Tier 2","Tier 3")),"")</f>
        <v>Tier 2</v>
      </c>
      <c r="O204" t="s">
        <v>869</v>
      </c>
    </row>
    <row r="205" spans="1:15" x14ac:dyDescent="0.25">
      <c r="A205" t="s">
        <v>679</v>
      </c>
      <c r="B205" t="s">
        <v>25</v>
      </c>
      <c r="C205" t="s">
        <v>680</v>
      </c>
      <c r="D205" t="s">
        <v>681</v>
      </c>
      <c r="E205" s="2">
        <v>1553</v>
      </c>
      <c r="F205" s="3">
        <v>32</v>
      </c>
      <c r="G205" s="4">
        <v>0.3</v>
      </c>
      <c r="H205" s="5">
        <v>1.32</v>
      </c>
      <c r="I205" t="s">
        <v>19</v>
      </c>
      <c r="J205">
        <v>1.5</v>
      </c>
      <c r="K205">
        <v>1</v>
      </c>
      <c r="L205">
        <v>1.2</v>
      </c>
      <c r="M205" s="4">
        <f>IF(E205&lt;&gt;"",IF(F205&lt;&gt;"",(E205/(F205+1))*J205*K205*L205,""),"")</f>
        <v>84.709090909090904</v>
      </c>
      <c r="N205" t="str">
        <f>IF(M205&lt;&gt;"",IF(M205&gt;150,"Tier 1",IF(M205&gt;50,"Tier 2","Tier 3")),"")</f>
        <v>Tier 2</v>
      </c>
      <c r="O205" t="s">
        <v>686</v>
      </c>
    </row>
    <row r="206" spans="1:15" x14ac:dyDescent="0.25">
      <c r="A206" t="s">
        <v>973</v>
      </c>
      <c r="B206" t="s">
        <v>39</v>
      </c>
      <c r="C206" t="s">
        <v>988</v>
      </c>
      <c r="D206" t="s">
        <v>989</v>
      </c>
      <c r="E206" s="2">
        <v>1800</v>
      </c>
      <c r="F206" s="3">
        <v>29</v>
      </c>
      <c r="G206" s="4">
        <v>0.3</v>
      </c>
      <c r="H206" s="5">
        <v>0.85</v>
      </c>
      <c r="I206" t="s">
        <v>58</v>
      </c>
      <c r="J206">
        <v>1</v>
      </c>
      <c r="K206">
        <v>1.3</v>
      </c>
      <c r="L206">
        <v>1</v>
      </c>
      <c r="M206" s="4">
        <f>IF(E206&lt;&gt;"",IF(F206&lt;&gt;"",(E206/(F206+1))*J206*K206*L206,""),"")</f>
        <v>78</v>
      </c>
      <c r="N206" t="str">
        <f>IF(M206&lt;&gt;"",IF(M206&gt;150,"Tier 1",IF(M206&gt;50,"Tier 2","Tier 3")),"")</f>
        <v>Tier 2</v>
      </c>
      <c r="O206" t="s">
        <v>990</v>
      </c>
    </row>
    <row r="207" spans="1:15" x14ac:dyDescent="0.25">
      <c r="A207" t="s">
        <v>519</v>
      </c>
      <c r="B207" t="s">
        <v>35</v>
      </c>
      <c r="C207" t="s">
        <v>531</v>
      </c>
      <c r="D207" t="s">
        <v>532</v>
      </c>
      <c r="E207" s="2">
        <v>2004</v>
      </c>
      <c r="F207" s="3">
        <v>36</v>
      </c>
      <c r="G207" s="4">
        <v>0.3</v>
      </c>
      <c r="H207" s="5">
        <v>1.1399999999999999</v>
      </c>
      <c r="I207" t="s">
        <v>63</v>
      </c>
      <c r="J207">
        <v>1.5</v>
      </c>
      <c r="K207">
        <v>0.8</v>
      </c>
      <c r="L207">
        <v>1</v>
      </c>
      <c r="M207" s="4">
        <f>IF(E207&lt;&gt;"",IF(F207&lt;&gt;"",(E207/(F207+1))*J207*K207*L207,""),"")</f>
        <v>64.994594594594602</v>
      </c>
      <c r="N207" t="str">
        <f>IF(M207&lt;&gt;"",IF(M207&gt;150,"Tier 1",IF(M207&gt;50,"Tier 2","Tier 3")),"")</f>
        <v>Tier 2</v>
      </c>
      <c r="O207" t="s">
        <v>533</v>
      </c>
    </row>
    <row r="208" spans="1:15" x14ac:dyDescent="0.25">
      <c r="A208" t="s">
        <v>1133</v>
      </c>
      <c r="B208" t="s">
        <v>43</v>
      </c>
      <c r="C208" t="s">
        <v>1151</v>
      </c>
      <c r="D208" t="s">
        <v>1152</v>
      </c>
      <c r="E208" s="2">
        <v>1460</v>
      </c>
      <c r="F208" s="3">
        <v>34</v>
      </c>
      <c r="G208" s="4">
        <v>0.3</v>
      </c>
      <c r="H208" s="5">
        <v>1.23</v>
      </c>
      <c r="I208" t="s">
        <v>19</v>
      </c>
      <c r="J208">
        <v>1.5</v>
      </c>
      <c r="K208">
        <v>1</v>
      </c>
      <c r="L208">
        <v>1</v>
      </c>
      <c r="M208" s="4">
        <f>IF(E208&lt;&gt;"",IF(F208&lt;&gt;"",(E208/(F208+1))*J208*K208*L208,""),"")</f>
        <v>62.571428571428569</v>
      </c>
      <c r="N208" t="str">
        <f>IF(M208&lt;&gt;"",IF(M208&gt;150,"Tier 1",IF(M208&gt;50,"Tier 2","Tier 3")),"")</f>
        <v>Tier 2</v>
      </c>
      <c r="O208" t="s">
        <v>1153</v>
      </c>
    </row>
    <row r="209" spans="1:15" x14ac:dyDescent="0.25">
      <c r="A209" t="s">
        <v>941</v>
      </c>
      <c r="B209" t="s">
        <v>43</v>
      </c>
      <c r="C209" t="s">
        <v>959</v>
      </c>
      <c r="D209" t="s">
        <v>960</v>
      </c>
      <c r="E209" s="2">
        <v>1750</v>
      </c>
      <c r="F209" s="3">
        <v>27</v>
      </c>
      <c r="G209" s="4">
        <v>0.3</v>
      </c>
      <c r="H209" s="5">
        <v>0.68</v>
      </c>
      <c r="I209" t="s">
        <v>19</v>
      </c>
      <c r="J209">
        <v>1</v>
      </c>
      <c r="K209">
        <v>1</v>
      </c>
      <c r="L209">
        <v>1</v>
      </c>
      <c r="M209" s="4">
        <f>IF(E209&lt;&gt;"",IF(F209&lt;&gt;"",(E209/(F209+1))*J209*K209*L209,""),"")</f>
        <v>62.5</v>
      </c>
      <c r="N209" t="str">
        <f>IF(M209&lt;&gt;"",IF(M209&gt;150,"Tier 1",IF(M209&gt;50,"Tier 2","Tier 3")),"")</f>
        <v>Tier 2</v>
      </c>
      <c r="O209" t="s">
        <v>961</v>
      </c>
    </row>
    <row r="210" spans="1:15" x14ac:dyDescent="0.25">
      <c r="A210" t="s">
        <v>647</v>
      </c>
      <c r="B210" t="s">
        <v>55</v>
      </c>
      <c r="C210" t="s">
        <v>673</v>
      </c>
      <c r="D210" t="s">
        <v>674</v>
      </c>
      <c r="E210" s="2">
        <v>1902</v>
      </c>
      <c r="F210" s="3">
        <v>36</v>
      </c>
      <c r="G210" s="4">
        <v>0.3</v>
      </c>
      <c r="H210" s="5">
        <v>1.81</v>
      </c>
      <c r="I210" t="s">
        <v>19</v>
      </c>
      <c r="J210">
        <v>1.5</v>
      </c>
      <c r="K210">
        <v>1</v>
      </c>
      <c r="L210">
        <v>0.8</v>
      </c>
      <c r="M210" s="4">
        <f>IF(E210&lt;&gt;"",IF(F210&lt;&gt;"",(E210/(F210+1))*J210*K210*L210,""),"")</f>
        <v>61.68648648648648</v>
      </c>
      <c r="N210" t="str">
        <f>IF(M210&lt;&gt;"",IF(M210&gt;150,"Tier 1",IF(M210&gt;50,"Tier 2","Tier 3")),"")</f>
        <v>Tier 2</v>
      </c>
      <c r="O210" t="s">
        <v>675</v>
      </c>
    </row>
    <row r="211" spans="1:15" x14ac:dyDescent="0.25">
      <c r="A211" t="s">
        <v>807</v>
      </c>
      <c r="B211" t="s">
        <v>35</v>
      </c>
      <c r="C211" t="s">
        <v>819</v>
      </c>
      <c r="D211" t="s">
        <v>820</v>
      </c>
      <c r="E211" s="2">
        <v>2140</v>
      </c>
      <c r="F211" s="3">
        <v>31</v>
      </c>
      <c r="G211" s="4">
        <v>0.3</v>
      </c>
      <c r="H211" s="5">
        <v>0.56000000000000005</v>
      </c>
      <c r="I211" t="s">
        <v>63</v>
      </c>
      <c r="J211">
        <v>1</v>
      </c>
      <c r="K211">
        <v>0.8</v>
      </c>
      <c r="L211">
        <v>1</v>
      </c>
      <c r="M211" s="4">
        <f>IF(E211&lt;&gt;"",IF(F211&lt;&gt;"",(E211/(F211+1))*J211*K211*L211,""),"")</f>
        <v>53.5</v>
      </c>
      <c r="N211" t="str">
        <f>IF(M211&lt;&gt;"",IF(M211&gt;150,"Tier 1",IF(M211&gt;50,"Tier 2","Tier 3")),"")</f>
        <v>Tier 2</v>
      </c>
      <c r="O211" t="s">
        <v>821</v>
      </c>
    </row>
    <row r="212" spans="1:15" x14ac:dyDescent="0.25">
      <c r="A212" t="s">
        <v>873</v>
      </c>
      <c r="B212" t="s">
        <v>55</v>
      </c>
      <c r="C212" t="s">
        <v>899</v>
      </c>
      <c r="D212" t="s">
        <v>900</v>
      </c>
      <c r="E212" s="2">
        <v>1453</v>
      </c>
      <c r="F212" s="3">
        <v>28</v>
      </c>
      <c r="G212" s="4">
        <v>0.3</v>
      </c>
      <c r="H212" s="5">
        <v>0.72</v>
      </c>
      <c r="I212" t="s">
        <v>58</v>
      </c>
      <c r="J212">
        <v>1</v>
      </c>
      <c r="K212">
        <v>1.3</v>
      </c>
      <c r="L212">
        <v>0.8</v>
      </c>
      <c r="M212" s="4">
        <f>IF(E212&lt;&gt;"",IF(F212&lt;&gt;"",(E212/(F212+1))*J212*K212*L212,""),"")</f>
        <v>52.107586206896556</v>
      </c>
      <c r="N212" t="str">
        <f>IF(M212&lt;&gt;"",IF(M212&gt;150,"Tier 1",IF(M212&gt;50,"Tier 2","Tier 3")),"")</f>
        <v>Tier 2</v>
      </c>
      <c r="O212" t="s">
        <v>901</v>
      </c>
    </row>
    <row r="213" spans="1:15" x14ac:dyDescent="0.25">
      <c r="A213" t="s">
        <v>679</v>
      </c>
      <c r="B213" t="s">
        <v>35</v>
      </c>
      <c r="C213" t="s">
        <v>691</v>
      </c>
      <c r="D213" t="s">
        <v>692</v>
      </c>
      <c r="E213" s="2">
        <v>1236</v>
      </c>
      <c r="F213" s="3">
        <v>28</v>
      </c>
      <c r="G213" s="4">
        <v>0.3</v>
      </c>
      <c r="H213" s="5">
        <v>0.98</v>
      </c>
      <c r="I213" t="s">
        <v>19</v>
      </c>
      <c r="J213">
        <v>1</v>
      </c>
      <c r="K213">
        <v>1</v>
      </c>
      <c r="L213">
        <v>1</v>
      </c>
      <c r="M213" s="4">
        <f>IF(E213&lt;&gt;"",IF(F213&lt;&gt;"",(E213/(F213+1))*J213*K213*L213,""),"")</f>
        <v>42.620689655172413</v>
      </c>
      <c r="N213" t="str">
        <f>IF(M213&lt;&gt;"",IF(M213&gt;150,"Tier 1",IF(M213&gt;50,"Tier 2","Tier 3")),"")</f>
        <v>Tier 3</v>
      </c>
      <c r="O213" t="s">
        <v>693</v>
      </c>
    </row>
    <row r="214" spans="1:15" x14ac:dyDescent="0.25">
      <c r="A214" t="s">
        <v>615</v>
      </c>
      <c r="B214" t="s">
        <v>55</v>
      </c>
      <c r="C214" t="s">
        <v>641</v>
      </c>
      <c r="D214" t="s">
        <v>642</v>
      </c>
      <c r="E214" s="2">
        <v>1269</v>
      </c>
      <c r="F214" s="3">
        <v>36</v>
      </c>
      <c r="G214" s="4">
        <v>0.3</v>
      </c>
      <c r="H214" s="5">
        <v>0.87</v>
      </c>
      <c r="I214" t="s">
        <v>19</v>
      </c>
      <c r="J214">
        <v>1</v>
      </c>
      <c r="K214">
        <v>1</v>
      </c>
      <c r="L214">
        <v>0.8</v>
      </c>
      <c r="M214" s="4">
        <f>IF(E214&lt;&gt;"",IF(F214&lt;&gt;"",(E214/(F214+1))*J214*K214*L214,""),"")</f>
        <v>27.43783783783784</v>
      </c>
      <c r="N214" t="str">
        <f>IF(M214&lt;&gt;"",IF(M214&gt;150,"Tier 1",IF(M214&gt;50,"Tier 2","Tier 3")),"")</f>
        <v>Tier 3</v>
      </c>
      <c r="O214" t="s">
        <v>643</v>
      </c>
    </row>
    <row r="215" spans="1:15" x14ac:dyDescent="0.25">
      <c r="A215" t="s">
        <v>551</v>
      </c>
      <c r="B215" t="s">
        <v>55</v>
      </c>
      <c r="C215" t="s">
        <v>577</v>
      </c>
      <c r="D215" t="s">
        <v>578</v>
      </c>
      <c r="E215" s="2">
        <v>842</v>
      </c>
      <c r="F215" s="3">
        <v>27</v>
      </c>
      <c r="G215" s="4">
        <v>0.3</v>
      </c>
      <c r="H215" s="5">
        <v>0.65</v>
      </c>
      <c r="I215" t="s">
        <v>19</v>
      </c>
      <c r="J215">
        <v>1</v>
      </c>
      <c r="K215">
        <v>1</v>
      </c>
      <c r="L215">
        <v>0.8</v>
      </c>
      <c r="M215" s="4">
        <f>IF(E215&lt;&gt;"",IF(F215&lt;&gt;"",(E215/(F215+1))*J215*K215*L215,""),"")</f>
        <v>24.05714285714286</v>
      </c>
      <c r="N215" t="str">
        <f>IF(M215&lt;&gt;"",IF(M215&gt;150,"Tier 1",IF(M215&gt;50,"Tier 2","Tier 3")),"")</f>
        <v>Tier 3</v>
      </c>
      <c r="O215" t="s">
        <v>579</v>
      </c>
    </row>
    <row r="216" spans="1:15" x14ac:dyDescent="0.25">
      <c r="A216" t="s">
        <v>615</v>
      </c>
      <c r="B216" t="s">
        <v>21</v>
      </c>
      <c r="C216" t="s">
        <v>619</v>
      </c>
      <c r="D216" t="s">
        <v>620</v>
      </c>
      <c r="E216" s="2">
        <v>8366</v>
      </c>
      <c r="F216" s="3">
        <v>26</v>
      </c>
      <c r="G216" s="4">
        <v>0.31</v>
      </c>
      <c r="H216" s="5">
        <v>0.82</v>
      </c>
      <c r="I216" t="s">
        <v>63</v>
      </c>
      <c r="J216">
        <v>1</v>
      </c>
      <c r="K216">
        <v>0.8</v>
      </c>
      <c r="L216">
        <v>1.2</v>
      </c>
      <c r="M216" s="4">
        <f>IF(E216&lt;&gt;"",IF(F216&lt;&gt;"",(E216/(F216+1))*J216*K216*L216,""),"")</f>
        <v>297.45777777777778</v>
      </c>
      <c r="N216" t="str">
        <f>IF(M216&lt;&gt;"",IF(M216&gt;150,"Tier 1",IF(M216&gt;50,"Tier 2","Tier 3")),"")</f>
        <v>Tier 1</v>
      </c>
      <c r="O216" t="s">
        <v>621</v>
      </c>
    </row>
    <row r="217" spans="1:15" x14ac:dyDescent="0.25">
      <c r="A217" t="s">
        <v>15</v>
      </c>
      <c r="B217" t="s">
        <v>43</v>
      </c>
      <c r="C217" t="s">
        <v>44</v>
      </c>
      <c r="D217" t="s">
        <v>45</v>
      </c>
      <c r="E217" s="2">
        <v>5334</v>
      </c>
      <c r="F217" s="3">
        <v>26</v>
      </c>
      <c r="G217" s="4">
        <v>0.31</v>
      </c>
      <c r="H217" s="5">
        <v>0.45</v>
      </c>
      <c r="I217" t="s">
        <v>19</v>
      </c>
      <c r="J217">
        <v>1</v>
      </c>
      <c r="K217">
        <v>1</v>
      </c>
      <c r="L217">
        <v>1</v>
      </c>
      <c r="M217" s="4">
        <f>IF(E217&lt;&gt;"",IF(F217&lt;&gt;"",(E217/(F217+1))*J217*K217*L217,""),"")</f>
        <v>197.55555555555554</v>
      </c>
      <c r="N217" t="str">
        <f>IF(M217&lt;&gt;"",IF(M217&gt;150,"Tier 1",IF(M217&gt;50,"Tier 2","Tier 3")),"")</f>
        <v>Tier 1</v>
      </c>
      <c r="O217" t="s">
        <v>46</v>
      </c>
    </row>
    <row r="218" spans="1:15" x14ac:dyDescent="0.25">
      <c r="A218" t="s">
        <v>775</v>
      </c>
      <c r="B218" t="s">
        <v>33</v>
      </c>
      <c r="C218" t="s">
        <v>779</v>
      </c>
      <c r="D218" t="s">
        <v>780</v>
      </c>
      <c r="E218" s="2">
        <v>7345</v>
      </c>
      <c r="F218" s="3">
        <v>36</v>
      </c>
      <c r="G218" s="4">
        <v>0.31</v>
      </c>
      <c r="H218" s="5">
        <v>0.94</v>
      </c>
      <c r="I218" t="s">
        <v>63</v>
      </c>
      <c r="J218">
        <v>1</v>
      </c>
      <c r="K218">
        <v>0.8</v>
      </c>
      <c r="L218">
        <v>1.2</v>
      </c>
      <c r="M218" s="4">
        <f>IF(E218&lt;&gt;"",IF(F218&lt;&gt;"",(E218/(F218+1))*J218*K218*L218,""),"")</f>
        <v>190.57297297297299</v>
      </c>
      <c r="N218" t="str">
        <f>IF(M218&lt;&gt;"",IF(M218&gt;150,"Tier 1",IF(M218&gt;50,"Tier 2","Tier 3")),"")</f>
        <v>Tier 1</v>
      </c>
      <c r="O218" t="s">
        <v>786</v>
      </c>
    </row>
    <row r="219" spans="1:15" x14ac:dyDescent="0.25">
      <c r="A219" t="s">
        <v>711</v>
      </c>
      <c r="B219" t="s">
        <v>35</v>
      </c>
      <c r="C219" t="s">
        <v>723</v>
      </c>
      <c r="D219" t="s">
        <v>724</v>
      </c>
      <c r="E219" s="2">
        <v>3791</v>
      </c>
      <c r="F219" s="3">
        <v>32</v>
      </c>
      <c r="G219" s="4">
        <v>0.31</v>
      </c>
      <c r="H219" s="5">
        <v>1.34</v>
      </c>
      <c r="I219" t="s">
        <v>19</v>
      </c>
      <c r="J219">
        <v>1.5</v>
      </c>
      <c r="K219">
        <v>1</v>
      </c>
      <c r="L219">
        <v>1</v>
      </c>
      <c r="M219" s="4">
        <f>IF(E219&lt;&gt;"",IF(F219&lt;&gt;"",(E219/(F219+1))*J219*K219*L219,""),"")</f>
        <v>172.31818181818181</v>
      </c>
      <c r="N219" t="str">
        <f>IF(M219&lt;&gt;"",IF(M219&gt;150,"Tier 1",IF(M219&gt;50,"Tier 2","Tier 3")),"")</f>
        <v>Tier 1</v>
      </c>
      <c r="O219" t="s">
        <v>725</v>
      </c>
    </row>
    <row r="220" spans="1:15" x14ac:dyDescent="0.25">
      <c r="A220" t="s">
        <v>163</v>
      </c>
      <c r="B220" t="s">
        <v>43</v>
      </c>
      <c r="C220" t="s">
        <v>183</v>
      </c>
      <c r="D220" t="s">
        <v>184</v>
      </c>
      <c r="E220" s="2">
        <v>4409</v>
      </c>
      <c r="F220" s="3">
        <v>32</v>
      </c>
      <c r="G220" s="4">
        <v>0.31</v>
      </c>
      <c r="H220" s="5">
        <v>1.6</v>
      </c>
      <c r="I220" t="s">
        <v>63</v>
      </c>
      <c r="J220">
        <v>1.5</v>
      </c>
      <c r="K220">
        <v>0.8</v>
      </c>
      <c r="L220">
        <v>1</v>
      </c>
      <c r="M220" s="4">
        <f>IF(E220&lt;&gt;"",IF(F220&lt;&gt;"",(E220/(F220+1))*J220*K220*L220,""),"")</f>
        <v>160.32727272727271</v>
      </c>
      <c r="N220" t="str">
        <f>IF(M220&lt;&gt;"",IF(M220&gt;150,"Tier 1",IF(M220&gt;50,"Tier 2","Tier 3")),"")</f>
        <v>Tier 1</v>
      </c>
      <c r="O220" t="s">
        <v>185</v>
      </c>
    </row>
    <row r="221" spans="1:15" x14ac:dyDescent="0.25">
      <c r="A221" t="s">
        <v>423</v>
      </c>
      <c r="B221" t="s">
        <v>39</v>
      </c>
      <c r="C221" t="s">
        <v>438</v>
      </c>
      <c r="D221" t="s">
        <v>439</v>
      </c>
      <c r="E221" s="2">
        <v>2171</v>
      </c>
      <c r="F221" s="3">
        <v>29</v>
      </c>
      <c r="G221" s="4">
        <v>0.31</v>
      </c>
      <c r="H221" s="5">
        <v>1.44</v>
      </c>
      <c r="I221" t="s">
        <v>58</v>
      </c>
      <c r="J221">
        <v>1.5</v>
      </c>
      <c r="K221">
        <v>1.3</v>
      </c>
      <c r="L221">
        <v>1</v>
      </c>
      <c r="M221" s="4">
        <f>IF(E221&lt;&gt;"",IF(F221&lt;&gt;"",(E221/(F221+1))*J221*K221*L221,""),"")</f>
        <v>141.11499999999998</v>
      </c>
      <c r="N221" t="str">
        <f>IF(M221&lt;&gt;"",IF(M221&gt;150,"Tier 1",IF(M221&gt;50,"Tier 2","Tier 3")),"")</f>
        <v>Tier 2</v>
      </c>
      <c r="O221" t="s">
        <v>440</v>
      </c>
    </row>
    <row r="222" spans="1:15" x14ac:dyDescent="0.25">
      <c r="A222" t="s">
        <v>1133</v>
      </c>
      <c r="B222" t="s">
        <v>16</v>
      </c>
      <c r="C222" t="s">
        <v>1134</v>
      </c>
      <c r="D222" t="s">
        <v>1135</v>
      </c>
      <c r="E222" s="2">
        <v>2873</v>
      </c>
      <c r="F222" s="3">
        <v>36</v>
      </c>
      <c r="G222" s="4">
        <v>0.31</v>
      </c>
      <c r="H222" s="5">
        <v>1.05</v>
      </c>
      <c r="I222" t="s">
        <v>19</v>
      </c>
      <c r="J222">
        <v>1.5</v>
      </c>
      <c r="K222">
        <v>1</v>
      </c>
      <c r="L222">
        <v>1.2</v>
      </c>
      <c r="M222" s="4">
        <f>IF(E222&lt;&gt;"",IF(F222&lt;&gt;"",(E222/(F222+1))*J222*K222*L222,""),"")</f>
        <v>139.76756756756757</v>
      </c>
      <c r="N222" t="str">
        <f>IF(M222&lt;&gt;"",IF(M222&gt;150,"Tier 1",IF(M222&gt;50,"Tier 2","Tier 3")),"")</f>
        <v>Tier 2</v>
      </c>
      <c r="O222" t="s">
        <v>1136</v>
      </c>
    </row>
    <row r="223" spans="1:15" x14ac:dyDescent="0.25">
      <c r="A223" t="s">
        <v>941</v>
      </c>
      <c r="B223" t="s">
        <v>39</v>
      </c>
      <c r="C223" t="s">
        <v>956</v>
      </c>
      <c r="D223" t="s">
        <v>957</v>
      </c>
      <c r="E223" s="2">
        <v>1939</v>
      </c>
      <c r="F223" s="3">
        <v>33</v>
      </c>
      <c r="G223" s="4">
        <v>0.31</v>
      </c>
      <c r="H223" s="5">
        <v>1.1299999999999999</v>
      </c>
      <c r="I223" t="s">
        <v>58</v>
      </c>
      <c r="J223">
        <v>1.5</v>
      </c>
      <c r="K223">
        <v>1.3</v>
      </c>
      <c r="L223">
        <v>1</v>
      </c>
      <c r="M223" s="4">
        <f>IF(E223&lt;&gt;"",IF(F223&lt;&gt;"",(E223/(F223+1))*J223*K223*L223,""),"")</f>
        <v>111.20735294117648</v>
      </c>
      <c r="N223" t="str">
        <f>IF(M223&lt;&gt;"",IF(M223&gt;150,"Tier 1",IF(M223&gt;50,"Tier 2","Tier 3")),"")</f>
        <v>Tier 2</v>
      </c>
      <c r="O223" t="s">
        <v>958</v>
      </c>
    </row>
    <row r="224" spans="1:15" x14ac:dyDescent="0.25">
      <c r="A224" t="s">
        <v>583</v>
      </c>
      <c r="B224" t="s">
        <v>29</v>
      </c>
      <c r="C224" t="s">
        <v>591</v>
      </c>
      <c r="D224" t="s">
        <v>592</v>
      </c>
      <c r="E224" s="2">
        <v>3204</v>
      </c>
      <c r="F224" s="3">
        <v>28</v>
      </c>
      <c r="G224" s="4">
        <v>0.31</v>
      </c>
      <c r="H224" s="5">
        <v>0.91</v>
      </c>
      <c r="I224" t="s">
        <v>19</v>
      </c>
      <c r="J224">
        <v>1</v>
      </c>
      <c r="K224">
        <v>1</v>
      </c>
      <c r="L224">
        <v>1</v>
      </c>
      <c r="M224" s="4">
        <f>IF(E224&lt;&gt;"",IF(F224&lt;&gt;"",(E224/(F224+1))*J224*K224*L224,""),"")</f>
        <v>110.48275862068965</v>
      </c>
      <c r="N224" t="str">
        <f>IF(M224&lt;&gt;"",IF(M224&gt;150,"Tier 1",IF(M224&gt;50,"Tier 2","Tier 3")),"")</f>
        <v>Tier 2</v>
      </c>
      <c r="O224" t="s">
        <v>593</v>
      </c>
    </row>
    <row r="225" spans="1:15" x14ac:dyDescent="0.25">
      <c r="A225" t="s">
        <v>15</v>
      </c>
      <c r="B225" t="s">
        <v>51</v>
      </c>
      <c r="C225" t="s">
        <v>52</v>
      </c>
      <c r="D225" t="s">
        <v>53</v>
      </c>
      <c r="E225" s="2">
        <v>4702</v>
      </c>
      <c r="F225" s="3">
        <v>35</v>
      </c>
      <c r="G225" s="4">
        <v>0.31</v>
      </c>
      <c r="H225" s="5">
        <v>0.42</v>
      </c>
      <c r="I225" t="s">
        <v>19</v>
      </c>
      <c r="J225">
        <v>1</v>
      </c>
      <c r="K225">
        <v>1</v>
      </c>
      <c r="L225">
        <v>0.8</v>
      </c>
      <c r="M225" s="4">
        <f>IF(E225&lt;&gt;"",IF(F225&lt;&gt;"",(E225/(F225+1))*J225*K225*L225,""),"")</f>
        <v>104.48888888888889</v>
      </c>
      <c r="N225" t="str">
        <f>IF(M225&lt;&gt;"",IF(M225&gt;150,"Tier 1",IF(M225&gt;50,"Tier 2","Tier 3")),"")</f>
        <v>Tier 2</v>
      </c>
      <c r="O225" t="s">
        <v>54</v>
      </c>
    </row>
    <row r="226" spans="1:15" x14ac:dyDescent="0.25">
      <c r="A226" t="s">
        <v>487</v>
      </c>
      <c r="B226" t="s">
        <v>51</v>
      </c>
      <c r="C226" t="s">
        <v>510</v>
      </c>
      <c r="D226" t="s">
        <v>511</v>
      </c>
      <c r="E226" s="2">
        <v>2542</v>
      </c>
      <c r="F226" s="3">
        <v>33</v>
      </c>
      <c r="G226" s="4">
        <v>0.31</v>
      </c>
      <c r="H226" s="5">
        <v>1.21</v>
      </c>
      <c r="I226" t="s">
        <v>19</v>
      </c>
      <c r="J226">
        <v>1.5</v>
      </c>
      <c r="K226">
        <v>1</v>
      </c>
      <c r="L226">
        <v>0.8</v>
      </c>
      <c r="M226" s="4">
        <f>IF(E226&lt;&gt;"",IF(F226&lt;&gt;"",(E226/(F226+1))*J226*K226*L226,""),"")</f>
        <v>89.717647058823545</v>
      </c>
      <c r="N226" t="str">
        <f>IF(M226&lt;&gt;"",IF(M226&gt;150,"Tier 1",IF(M226&gt;50,"Tier 2","Tier 3")),"")</f>
        <v>Tier 2</v>
      </c>
      <c r="O226" t="s">
        <v>512</v>
      </c>
    </row>
    <row r="227" spans="1:15" x14ac:dyDescent="0.25">
      <c r="A227" t="s">
        <v>325</v>
      </c>
      <c r="B227" t="s">
        <v>33</v>
      </c>
      <c r="C227" t="s">
        <v>329</v>
      </c>
      <c r="D227" t="s">
        <v>330</v>
      </c>
      <c r="E227" s="2">
        <v>2140</v>
      </c>
      <c r="F227" s="3">
        <v>31</v>
      </c>
      <c r="G227" s="4">
        <v>0.31</v>
      </c>
      <c r="H227" s="5">
        <v>0.9</v>
      </c>
      <c r="I227" t="s">
        <v>19</v>
      </c>
      <c r="J227">
        <v>1</v>
      </c>
      <c r="K227">
        <v>1</v>
      </c>
      <c r="L227">
        <v>1.2</v>
      </c>
      <c r="M227" s="4">
        <f>IF(E227&lt;&gt;"",IF(F227&lt;&gt;"",(E227/(F227+1))*J227*K227*L227,""),"")</f>
        <v>80.25</v>
      </c>
      <c r="N227" t="str">
        <f>IF(M227&lt;&gt;"",IF(M227&gt;150,"Tier 1",IF(M227&gt;50,"Tier 2","Tier 3")),"")</f>
        <v>Tier 2</v>
      </c>
      <c r="O227" t="s">
        <v>336</v>
      </c>
    </row>
    <row r="228" spans="1:15" x14ac:dyDescent="0.25">
      <c r="A228" t="s">
        <v>519</v>
      </c>
      <c r="B228" t="s">
        <v>29</v>
      </c>
      <c r="C228" t="s">
        <v>527</v>
      </c>
      <c r="D228" t="s">
        <v>528</v>
      </c>
      <c r="E228" s="2">
        <v>2094</v>
      </c>
      <c r="F228" s="3">
        <v>37</v>
      </c>
      <c r="G228" s="4">
        <v>0.31</v>
      </c>
      <c r="H228" s="5">
        <v>0.93</v>
      </c>
      <c r="I228" t="s">
        <v>58</v>
      </c>
      <c r="J228">
        <v>1</v>
      </c>
      <c r="K228">
        <v>1.3</v>
      </c>
      <c r="L228">
        <v>1</v>
      </c>
      <c r="M228" s="4">
        <f>IF(E228&lt;&gt;"",IF(F228&lt;&gt;"",(E228/(F228+1))*J228*K228*L228,""),"")</f>
        <v>71.63684210526317</v>
      </c>
      <c r="N228" t="str">
        <f>IF(M228&lt;&gt;"",IF(M228&gt;150,"Tier 1",IF(M228&gt;50,"Tier 2","Tier 3")),"")</f>
        <v>Tier 2</v>
      </c>
      <c r="O228" t="s">
        <v>529</v>
      </c>
    </row>
    <row r="229" spans="1:15" x14ac:dyDescent="0.25">
      <c r="A229" t="s">
        <v>293</v>
      </c>
      <c r="B229" t="s">
        <v>51</v>
      </c>
      <c r="C229" t="s">
        <v>316</v>
      </c>
      <c r="D229" t="s">
        <v>317</v>
      </c>
      <c r="E229" s="2">
        <v>924</v>
      </c>
      <c r="F229" s="3">
        <v>28</v>
      </c>
      <c r="G229" s="4">
        <v>0.31</v>
      </c>
      <c r="H229" s="5">
        <v>0.85</v>
      </c>
      <c r="I229" t="s">
        <v>58</v>
      </c>
      <c r="J229">
        <v>1</v>
      </c>
      <c r="K229">
        <v>1.3</v>
      </c>
      <c r="L229">
        <v>0.8</v>
      </c>
      <c r="M229" s="4">
        <f>IF(E229&lt;&gt;"",IF(F229&lt;&gt;"",(E229/(F229+1))*J229*K229*L229,""),"")</f>
        <v>33.136551724137938</v>
      </c>
      <c r="N229" t="str">
        <f>IF(M229&lt;&gt;"",IF(M229&gt;150,"Tier 1",IF(M229&gt;50,"Tier 2","Tier 3")),"")</f>
        <v>Tier 3</v>
      </c>
      <c r="O229" t="s">
        <v>318</v>
      </c>
    </row>
    <row r="230" spans="1:15" x14ac:dyDescent="0.25">
      <c r="A230" t="s">
        <v>325</v>
      </c>
      <c r="B230" t="s">
        <v>55</v>
      </c>
      <c r="C230" t="s">
        <v>351</v>
      </c>
      <c r="D230" t="s">
        <v>352</v>
      </c>
      <c r="E230" s="2">
        <v>614</v>
      </c>
      <c r="F230" s="3">
        <v>26</v>
      </c>
      <c r="G230" s="4">
        <v>0.31</v>
      </c>
      <c r="H230" s="5">
        <v>0.54</v>
      </c>
      <c r="I230" t="s">
        <v>19</v>
      </c>
      <c r="J230">
        <v>1</v>
      </c>
      <c r="K230">
        <v>1</v>
      </c>
      <c r="L230">
        <v>0.8</v>
      </c>
      <c r="M230" s="4">
        <f>IF(E230&lt;&gt;"",IF(F230&lt;&gt;"",(E230/(F230+1))*J230*K230*L230,""),"")</f>
        <v>18.192592592592593</v>
      </c>
      <c r="N230" t="str">
        <f>IF(M230&lt;&gt;"",IF(M230&gt;150,"Tier 1",IF(M230&gt;50,"Tier 2","Tier 3")),"")</f>
        <v>Tier 3</v>
      </c>
      <c r="O230" t="s">
        <v>353</v>
      </c>
    </row>
    <row r="231" spans="1:15" x14ac:dyDescent="0.25">
      <c r="A231" t="s">
        <v>455</v>
      </c>
      <c r="B231" t="s">
        <v>21</v>
      </c>
      <c r="C231" t="s">
        <v>459</v>
      </c>
      <c r="D231" t="s">
        <v>460</v>
      </c>
      <c r="E231" s="2">
        <v>11888</v>
      </c>
      <c r="F231" s="3">
        <v>31</v>
      </c>
      <c r="G231" s="4">
        <v>0.32</v>
      </c>
      <c r="H231" s="5">
        <v>0.21</v>
      </c>
      <c r="I231" t="s">
        <v>58</v>
      </c>
      <c r="J231">
        <v>1</v>
      </c>
      <c r="K231">
        <v>1.3</v>
      </c>
      <c r="L231">
        <v>1.2</v>
      </c>
      <c r="M231" s="4">
        <f>IF(E231&lt;&gt;"",IF(F231&lt;&gt;"",(E231/(F231+1))*J231*K231*L231,""),"")</f>
        <v>579.54</v>
      </c>
      <c r="N231" t="str">
        <f>IF(M231&lt;&gt;"",IF(M231&gt;150,"Tier 1",IF(M231&gt;50,"Tier 2","Tier 3")),"")</f>
        <v>Tier 1</v>
      </c>
      <c r="O231" t="s">
        <v>461</v>
      </c>
    </row>
    <row r="232" spans="1:15" x14ac:dyDescent="0.25">
      <c r="A232" t="s">
        <v>905</v>
      </c>
      <c r="B232" t="s">
        <v>33</v>
      </c>
      <c r="C232" t="s">
        <v>909</v>
      </c>
      <c r="D232" t="s">
        <v>918</v>
      </c>
      <c r="E232" s="2">
        <v>9778</v>
      </c>
      <c r="F232" s="3">
        <v>39</v>
      </c>
      <c r="G232" s="4">
        <v>0.32</v>
      </c>
      <c r="H232" s="5">
        <v>0.91</v>
      </c>
      <c r="I232" t="s">
        <v>19</v>
      </c>
      <c r="J232">
        <v>1</v>
      </c>
      <c r="K232">
        <v>1</v>
      </c>
      <c r="L232">
        <v>1.2</v>
      </c>
      <c r="M232" s="4">
        <f>IF(E232&lt;&gt;"",IF(F232&lt;&gt;"",(E232/(F232+1))*J232*K232*L232,""),"")</f>
        <v>293.33999999999997</v>
      </c>
      <c r="N232" t="str">
        <f>IF(M232&lt;&gt;"",IF(M232&gt;150,"Tier 1",IF(M232&gt;50,"Tier 2","Tier 3")),"")</f>
        <v>Tier 1</v>
      </c>
      <c r="O232" t="s">
        <v>919</v>
      </c>
    </row>
    <row r="233" spans="1:15" x14ac:dyDescent="0.25">
      <c r="A233" t="s">
        <v>839</v>
      </c>
      <c r="B233" t="s">
        <v>43</v>
      </c>
      <c r="C233" t="s">
        <v>859</v>
      </c>
      <c r="D233" t="s">
        <v>860</v>
      </c>
      <c r="E233" s="2">
        <v>6827</v>
      </c>
      <c r="F233" s="3">
        <v>31</v>
      </c>
      <c r="G233" s="4">
        <v>0.32</v>
      </c>
      <c r="H233" s="5">
        <v>0.32</v>
      </c>
      <c r="I233" t="s">
        <v>58</v>
      </c>
      <c r="J233">
        <v>1</v>
      </c>
      <c r="K233">
        <v>1.3</v>
      </c>
      <c r="L233">
        <v>1</v>
      </c>
      <c r="M233" s="4">
        <f>IF(E233&lt;&gt;"",IF(F233&lt;&gt;"",(E233/(F233+1))*J233*K233*L233,""),"")</f>
        <v>277.34687500000001</v>
      </c>
      <c r="N233" t="str">
        <f>IF(M233&lt;&gt;"",IF(M233&gt;150,"Tier 1",IF(M233&gt;50,"Tier 2","Tier 3")),"")</f>
        <v>Tier 1</v>
      </c>
      <c r="O233" t="s">
        <v>861</v>
      </c>
    </row>
    <row r="234" spans="1:15" x14ac:dyDescent="0.25">
      <c r="A234" t="s">
        <v>163</v>
      </c>
      <c r="B234" t="s">
        <v>29</v>
      </c>
      <c r="C234" t="s">
        <v>172</v>
      </c>
      <c r="D234" t="s">
        <v>173</v>
      </c>
      <c r="E234" s="2">
        <v>6484</v>
      </c>
      <c r="F234" s="3">
        <v>38</v>
      </c>
      <c r="G234" s="4">
        <v>0.32</v>
      </c>
      <c r="H234" s="5">
        <v>1.51</v>
      </c>
      <c r="I234" t="s">
        <v>19</v>
      </c>
      <c r="J234">
        <v>1.5</v>
      </c>
      <c r="K234">
        <v>1</v>
      </c>
      <c r="L234">
        <v>1</v>
      </c>
      <c r="M234" s="4">
        <f>IF(E234&lt;&gt;"",IF(F234&lt;&gt;"",(E234/(F234+1))*J234*K234*L234,""),"")</f>
        <v>249.38461538461536</v>
      </c>
      <c r="N234" t="str">
        <f>IF(M234&lt;&gt;"",IF(M234&gt;150,"Tier 1",IF(M234&gt;50,"Tier 2","Tier 3")),"")</f>
        <v>Tier 1</v>
      </c>
      <c r="O234" t="s">
        <v>174</v>
      </c>
    </row>
    <row r="235" spans="1:15" x14ac:dyDescent="0.25">
      <c r="A235" t="s">
        <v>163</v>
      </c>
      <c r="B235" t="s">
        <v>35</v>
      </c>
      <c r="C235" t="s">
        <v>177</v>
      </c>
      <c r="D235" t="s">
        <v>178</v>
      </c>
      <c r="E235" s="2">
        <v>5527</v>
      </c>
      <c r="F235" s="3">
        <v>36</v>
      </c>
      <c r="G235" s="4">
        <v>0.32</v>
      </c>
      <c r="H235" s="5">
        <v>1.37</v>
      </c>
      <c r="I235" t="s">
        <v>19</v>
      </c>
      <c r="J235">
        <v>1.5</v>
      </c>
      <c r="K235">
        <v>1</v>
      </c>
      <c r="L235">
        <v>1</v>
      </c>
      <c r="M235" s="4">
        <f>IF(E235&lt;&gt;"",IF(F235&lt;&gt;"",(E235/(F235+1))*J235*K235*L235,""),"")</f>
        <v>224.06756756756758</v>
      </c>
      <c r="N235" t="str">
        <f>IF(M235&lt;&gt;"",IF(M235&gt;150,"Tier 1",IF(M235&gt;50,"Tier 2","Tier 3")),"")</f>
        <v>Tier 1</v>
      </c>
      <c r="O235" t="s">
        <v>179</v>
      </c>
    </row>
    <row r="236" spans="1:15" x14ac:dyDescent="0.25">
      <c r="A236" t="s">
        <v>487</v>
      </c>
      <c r="B236" t="s">
        <v>25</v>
      </c>
      <c r="C236" t="s">
        <v>488</v>
      </c>
      <c r="D236" t="s">
        <v>489</v>
      </c>
      <c r="E236" s="2">
        <v>4397</v>
      </c>
      <c r="F236" s="3">
        <v>35</v>
      </c>
      <c r="G236" s="4">
        <v>0.32</v>
      </c>
      <c r="H236" s="5">
        <v>1.1100000000000001</v>
      </c>
      <c r="I236" t="s">
        <v>19</v>
      </c>
      <c r="J236">
        <v>1.5</v>
      </c>
      <c r="K236">
        <v>1</v>
      </c>
      <c r="L236">
        <v>1.2</v>
      </c>
      <c r="M236" s="4">
        <f>IF(E236&lt;&gt;"",IF(F236&lt;&gt;"",(E236/(F236+1))*J236*K236*L236,""),"")</f>
        <v>219.84999999999997</v>
      </c>
      <c r="N236" t="str">
        <f>IF(M236&lt;&gt;"",IF(M236&gt;150,"Tier 1",IF(M236&gt;50,"Tier 2","Tier 3")),"")</f>
        <v>Tier 1</v>
      </c>
      <c r="O236" t="s">
        <v>494</v>
      </c>
    </row>
    <row r="237" spans="1:15" x14ac:dyDescent="0.25">
      <c r="A237" t="s">
        <v>647</v>
      </c>
      <c r="B237" t="s">
        <v>60</v>
      </c>
      <c r="C237" t="s">
        <v>676</v>
      </c>
      <c r="D237" t="s">
        <v>677</v>
      </c>
      <c r="E237" s="2">
        <v>4876</v>
      </c>
      <c r="F237" s="3">
        <v>34</v>
      </c>
      <c r="G237" s="4">
        <v>0.32</v>
      </c>
      <c r="H237" s="5">
        <v>1.55</v>
      </c>
      <c r="I237" t="s">
        <v>58</v>
      </c>
      <c r="J237">
        <v>1.5</v>
      </c>
      <c r="K237">
        <v>1.3</v>
      </c>
      <c r="L237">
        <v>0.8</v>
      </c>
      <c r="M237" s="4">
        <f>IF(E237&lt;&gt;"",IF(F237&lt;&gt;"",(E237/(F237+1))*J237*K237*L237,""),"")</f>
        <v>217.33028571428574</v>
      </c>
      <c r="N237" t="str">
        <f>IF(M237&lt;&gt;"",IF(M237&gt;150,"Tier 1",IF(M237&gt;50,"Tier 2","Tier 3")),"")</f>
        <v>Tier 1</v>
      </c>
      <c r="O237" t="s">
        <v>678</v>
      </c>
    </row>
    <row r="238" spans="1:15" x14ac:dyDescent="0.25">
      <c r="A238" t="s">
        <v>1069</v>
      </c>
      <c r="B238" t="s">
        <v>43</v>
      </c>
      <c r="C238" t="s">
        <v>1087</v>
      </c>
      <c r="D238" t="s">
        <v>1088</v>
      </c>
      <c r="E238" s="2">
        <v>3041</v>
      </c>
      <c r="F238" s="3">
        <v>30</v>
      </c>
      <c r="G238" s="4">
        <v>0.32</v>
      </c>
      <c r="H238" s="5">
        <v>1.32</v>
      </c>
      <c r="I238" t="s">
        <v>58</v>
      </c>
      <c r="J238">
        <v>1.5</v>
      </c>
      <c r="K238">
        <v>1.3</v>
      </c>
      <c r="L238">
        <v>1</v>
      </c>
      <c r="M238" s="4">
        <f>IF(E238&lt;&gt;"",IF(F238&lt;&gt;"",(E238/(F238+1))*J238*K238*L238,""),"")</f>
        <v>191.28870967741935</v>
      </c>
      <c r="N238" t="str">
        <f>IF(M238&lt;&gt;"",IF(M238&gt;150,"Tier 1",IF(M238&gt;50,"Tier 2","Tier 3")),"")</f>
        <v>Tier 1</v>
      </c>
      <c r="O238" t="s">
        <v>1089</v>
      </c>
    </row>
    <row r="239" spans="1:15" x14ac:dyDescent="0.25">
      <c r="A239" t="s">
        <v>1101</v>
      </c>
      <c r="B239" t="s">
        <v>16</v>
      </c>
      <c r="C239" t="s">
        <v>1102</v>
      </c>
      <c r="D239" t="s">
        <v>1103</v>
      </c>
      <c r="E239" s="2">
        <v>5977</v>
      </c>
      <c r="F239" s="3">
        <v>29</v>
      </c>
      <c r="G239" s="4">
        <v>0.32</v>
      </c>
      <c r="H239" s="5">
        <v>0.67</v>
      </c>
      <c r="I239" t="s">
        <v>63</v>
      </c>
      <c r="J239">
        <v>1</v>
      </c>
      <c r="K239">
        <v>0.8</v>
      </c>
      <c r="L239">
        <v>1.2</v>
      </c>
      <c r="M239" s="4">
        <f>IF(E239&lt;&gt;"",IF(F239&lt;&gt;"",(E239/(F239+1))*J239*K239*L239,""),"")</f>
        <v>191.26399999999998</v>
      </c>
      <c r="N239" t="str">
        <f>IF(M239&lt;&gt;"",IF(M239&gt;150,"Tier 1",IF(M239&gt;50,"Tier 2","Tier 3")),"")</f>
        <v>Tier 1</v>
      </c>
      <c r="O239" t="s">
        <v>1104</v>
      </c>
    </row>
    <row r="240" spans="1:15" x14ac:dyDescent="0.25">
      <c r="A240" t="s">
        <v>743</v>
      </c>
      <c r="B240" t="s">
        <v>25</v>
      </c>
      <c r="C240" t="s">
        <v>744</v>
      </c>
      <c r="D240" t="s">
        <v>745</v>
      </c>
      <c r="E240" s="2">
        <v>2248</v>
      </c>
      <c r="F240" s="3">
        <v>32</v>
      </c>
      <c r="G240" s="4">
        <v>0.32</v>
      </c>
      <c r="H240" s="5">
        <v>1.05</v>
      </c>
      <c r="I240" t="s">
        <v>58</v>
      </c>
      <c r="J240">
        <v>1.5</v>
      </c>
      <c r="K240">
        <v>1.3</v>
      </c>
      <c r="L240">
        <v>1.2</v>
      </c>
      <c r="M240" s="4">
        <f>IF(E240&lt;&gt;"",IF(F240&lt;&gt;"",(E240/(F240+1))*J240*K240*L240,""),"")</f>
        <v>159.40363636363637</v>
      </c>
      <c r="N240" t="str">
        <f>IF(M240&lt;&gt;"",IF(M240&gt;150,"Tier 1",IF(M240&gt;50,"Tier 2","Tier 3")),"")</f>
        <v>Tier 1</v>
      </c>
      <c r="O240" t="s">
        <v>750</v>
      </c>
    </row>
    <row r="241" spans="1:17" x14ac:dyDescent="0.25">
      <c r="A241" t="s">
        <v>551</v>
      </c>
      <c r="B241" t="s">
        <v>21</v>
      </c>
      <c r="C241" t="s">
        <v>555</v>
      </c>
      <c r="D241" t="s">
        <v>556</v>
      </c>
      <c r="E241" s="2">
        <v>4421</v>
      </c>
      <c r="F241" s="3">
        <v>27</v>
      </c>
      <c r="G241" s="4">
        <v>0.32</v>
      </c>
      <c r="H241" s="5">
        <v>0.71</v>
      </c>
      <c r="I241" t="s">
        <v>63</v>
      </c>
      <c r="J241">
        <v>1</v>
      </c>
      <c r="K241">
        <v>0.8</v>
      </c>
      <c r="L241">
        <v>1.2</v>
      </c>
      <c r="M241" s="4">
        <f>IF(E241&lt;&gt;"",IF(F241&lt;&gt;"",(E241/(F241+1))*J241*K241*L241,""),"")</f>
        <v>151.57714285714286</v>
      </c>
      <c r="N241" t="str">
        <f>IF(M241&lt;&gt;"",IF(M241&gt;150,"Tier 1",IF(M241&gt;50,"Tier 2","Tier 3")),"")</f>
        <v>Tier 1</v>
      </c>
      <c r="O241" t="s">
        <v>557</v>
      </c>
    </row>
    <row r="242" spans="1:17" x14ac:dyDescent="0.25">
      <c r="A242" t="s">
        <v>615</v>
      </c>
      <c r="B242" t="s">
        <v>60</v>
      </c>
      <c r="C242" t="s">
        <v>644</v>
      </c>
      <c r="D242" t="s">
        <v>645</v>
      </c>
      <c r="E242" s="2">
        <v>3454</v>
      </c>
      <c r="F242" s="3">
        <v>32</v>
      </c>
      <c r="G242" s="4">
        <v>0.32</v>
      </c>
      <c r="H242" s="5">
        <v>1.17</v>
      </c>
      <c r="I242" t="s">
        <v>19</v>
      </c>
      <c r="J242">
        <v>1.5</v>
      </c>
      <c r="K242">
        <v>1</v>
      </c>
      <c r="L242">
        <v>0.8</v>
      </c>
      <c r="M242" s="4">
        <f>IF(E242&lt;&gt;"",IF(F242&lt;&gt;"",(E242/(F242+1))*J242*K242*L242,""),"")</f>
        <v>125.60000000000001</v>
      </c>
      <c r="N242" t="str">
        <f>IF(M242&lt;&gt;"",IF(M242&gt;150,"Tier 1",IF(M242&gt;50,"Tier 2","Tier 3")),"")</f>
        <v>Tier 2</v>
      </c>
      <c r="O242" t="s">
        <v>646</v>
      </c>
    </row>
    <row r="243" spans="1:17" x14ac:dyDescent="0.25">
      <c r="A243" t="s">
        <v>1133</v>
      </c>
      <c r="B243" t="s">
        <v>25</v>
      </c>
      <c r="C243" t="s">
        <v>1134</v>
      </c>
      <c r="D243" t="s">
        <v>1135</v>
      </c>
      <c r="E243" s="2">
        <v>2988</v>
      </c>
      <c r="F243" s="3">
        <v>31</v>
      </c>
      <c r="G243" s="4">
        <v>0.32</v>
      </c>
      <c r="H243" s="5">
        <v>0.98</v>
      </c>
      <c r="I243" t="s">
        <v>19</v>
      </c>
      <c r="J243">
        <v>1</v>
      </c>
      <c r="K243">
        <v>1</v>
      </c>
      <c r="L243">
        <v>1.2</v>
      </c>
      <c r="M243" s="4">
        <f>IF(E243&lt;&gt;"",IF(F243&lt;&gt;"",(E243/(F243+1))*J243*K243*L243,""),"")</f>
        <v>112.05</v>
      </c>
      <c r="N243" t="str">
        <f>IF(M243&lt;&gt;"",IF(M243&gt;150,"Tier 1",IF(M243&gt;50,"Tier 2","Tier 3")),"")</f>
        <v>Tier 2</v>
      </c>
      <c r="O243" t="s">
        <v>1140</v>
      </c>
    </row>
    <row r="244" spans="1:17" x14ac:dyDescent="0.25">
      <c r="A244" t="s">
        <v>775</v>
      </c>
      <c r="B244" t="s">
        <v>47</v>
      </c>
      <c r="C244" t="s">
        <v>779</v>
      </c>
      <c r="D244" t="s">
        <v>796</v>
      </c>
      <c r="E244" s="2">
        <v>3678</v>
      </c>
      <c r="F244" s="3">
        <v>34</v>
      </c>
      <c r="G244" s="4">
        <v>0.32</v>
      </c>
      <c r="H244" s="5">
        <v>0.95</v>
      </c>
      <c r="I244" t="s">
        <v>19</v>
      </c>
      <c r="J244">
        <v>1</v>
      </c>
      <c r="K244">
        <v>1</v>
      </c>
      <c r="L244">
        <v>1</v>
      </c>
      <c r="M244" s="4">
        <f>IF(E244&lt;&gt;"",IF(F244&lt;&gt;"",(E244/(F244+1))*J244*K244*L244,""),"")</f>
        <v>105.08571428571429</v>
      </c>
      <c r="N244" t="str">
        <f>IF(M244&lt;&gt;"",IF(M244&gt;150,"Tier 1",IF(M244&gt;50,"Tier 2","Tier 3")),"")</f>
        <v>Tier 2</v>
      </c>
      <c r="O244" t="s">
        <v>797</v>
      </c>
    </row>
    <row r="245" spans="1:17" x14ac:dyDescent="0.25">
      <c r="A245" t="s">
        <v>1037</v>
      </c>
      <c r="B245" t="s">
        <v>29</v>
      </c>
      <c r="C245" t="s">
        <v>1045</v>
      </c>
      <c r="D245" t="s">
        <v>1046</v>
      </c>
      <c r="E245" s="2">
        <v>3287</v>
      </c>
      <c r="F245" s="3">
        <v>31</v>
      </c>
      <c r="G245" s="4">
        <v>0.32</v>
      </c>
      <c r="H245" s="5">
        <v>0.86</v>
      </c>
      <c r="I245" t="s">
        <v>19</v>
      </c>
      <c r="J245">
        <v>1</v>
      </c>
      <c r="K245">
        <v>1</v>
      </c>
      <c r="L245">
        <v>1</v>
      </c>
      <c r="M245" s="4">
        <f>IF(E245&lt;&gt;"",IF(F245&lt;&gt;"",(E245/(F245+1))*J245*K245*L245,""),"")</f>
        <v>102.71875</v>
      </c>
      <c r="N245" t="str">
        <f>IF(M245&lt;&gt;"",IF(M245&gt;150,"Tier 1",IF(M245&gt;50,"Tier 2","Tier 3")),"")</f>
        <v>Tier 2</v>
      </c>
      <c r="O245" t="s">
        <v>1047</v>
      </c>
    </row>
    <row r="246" spans="1:17" x14ac:dyDescent="0.25">
      <c r="A246" t="s">
        <v>615</v>
      </c>
      <c r="B246" t="s">
        <v>43</v>
      </c>
      <c r="C246" t="s">
        <v>633</v>
      </c>
      <c r="D246" t="s">
        <v>634</v>
      </c>
      <c r="E246" s="2">
        <v>2144</v>
      </c>
      <c r="F246" s="3">
        <v>27</v>
      </c>
      <c r="G246" s="4">
        <v>0.32</v>
      </c>
      <c r="H246" s="5">
        <v>0.92</v>
      </c>
      <c r="I246" t="s">
        <v>58</v>
      </c>
      <c r="J246">
        <v>1</v>
      </c>
      <c r="K246">
        <v>1.3</v>
      </c>
      <c r="L246">
        <v>1</v>
      </c>
      <c r="M246" s="4">
        <f>IF(E246&lt;&gt;"",IF(F246&lt;&gt;"",(E246/(F246+1))*J246*K246*L246,""),"")</f>
        <v>99.542857142857144</v>
      </c>
      <c r="N246" t="str">
        <f>IF(M246&lt;&gt;"",IF(M246&gt;150,"Tier 1",IF(M246&gt;50,"Tier 2","Tier 3")),"")</f>
        <v>Tier 2</v>
      </c>
      <c r="O246" t="s">
        <v>635</v>
      </c>
    </row>
    <row r="247" spans="1:17" x14ac:dyDescent="0.25">
      <c r="A247" t="s">
        <v>583</v>
      </c>
      <c r="B247" t="s">
        <v>60</v>
      </c>
      <c r="C247" t="s">
        <v>612</v>
      </c>
      <c r="D247" t="s">
        <v>613</v>
      </c>
      <c r="E247" s="2">
        <v>2728</v>
      </c>
      <c r="F247" s="3">
        <v>28</v>
      </c>
      <c r="G247" s="4">
        <v>0.32</v>
      </c>
      <c r="H247" s="5">
        <v>1.42</v>
      </c>
      <c r="I247" t="s">
        <v>63</v>
      </c>
      <c r="J247">
        <v>1.5</v>
      </c>
      <c r="K247">
        <v>0.8</v>
      </c>
      <c r="L247">
        <v>0.8</v>
      </c>
      <c r="M247" s="4">
        <f>IF(E247&lt;&gt;"",IF(F247&lt;&gt;"",(E247/(F247+1))*J247*K247*L247,""),"")</f>
        <v>90.306206896551728</v>
      </c>
      <c r="N247" t="str">
        <f>IF(M247&lt;&gt;"",IF(M247&gt;150,"Tier 1",IF(M247&gt;50,"Tier 2","Tier 3")),"")</f>
        <v>Tier 2</v>
      </c>
      <c r="O247" t="s">
        <v>614</v>
      </c>
    </row>
    <row r="248" spans="1:17" x14ac:dyDescent="0.25">
      <c r="A248" t="s">
        <v>519</v>
      </c>
      <c r="B248" t="s">
        <v>39</v>
      </c>
      <c r="C248" t="s">
        <v>534</v>
      </c>
      <c r="D248" t="s">
        <v>535</v>
      </c>
      <c r="E248" s="2">
        <v>1769</v>
      </c>
      <c r="F248" s="3">
        <v>38</v>
      </c>
      <c r="G248" s="4">
        <v>0.32</v>
      </c>
      <c r="H248" s="5">
        <v>1.38</v>
      </c>
      <c r="I248" t="s">
        <v>58</v>
      </c>
      <c r="J248">
        <v>1.5</v>
      </c>
      <c r="K248">
        <v>1.3</v>
      </c>
      <c r="L248">
        <v>1</v>
      </c>
      <c r="M248" s="4">
        <f>IF(E248&lt;&gt;"",IF(F248&lt;&gt;"",(E248/(F248+1))*J248*K248*L248,""),"")</f>
        <v>88.45</v>
      </c>
      <c r="N248" t="str">
        <f>IF(M248&lt;&gt;"",IF(M248&gt;150,"Tier 1",IF(M248&gt;50,"Tier 2","Tier 3")),"")</f>
        <v>Tier 2</v>
      </c>
      <c r="O248" t="s">
        <v>536</v>
      </c>
    </row>
    <row r="249" spans="1:17" x14ac:dyDescent="0.25">
      <c r="A249" t="s">
        <v>487</v>
      </c>
      <c r="B249" t="s">
        <v>39</v>
      </c>
      <c r="C249" t="s">
        <v>502</v>
      </c>
      <c r="D249" t="s">
        <v>503</v>
      </c>
      <c r="E249" s="2">
        <v>2382</v>
      </c>
      <c r="F249" s="3">
        <v>35</v>
      </c>
      <c r="G249" s="4">
        <v>0.32</v>
      </c>
      <c r="H249" s="5">
        <v>1.03</v>
      </c>
      <c r="I249" t="s">
        <v>63</v>
      </c>
      <c r="J249">
        <v>1.5</v>
      </c>
      <c r="K249">
        <v>0.8</v>
      </c>
      <c r="L249">
        <v>1</v>
      </c>
      <c r="M249" s="4">
        <f>IF(E249&lt;&gt;"",IF(F249&lt;&gt;"",(E249/(F249+1))*J249*K249*L249,""),"")</f>
        <v>79.400000000000006</v>
      </c>
      <c r="N249" t="str">
        <f>IF(M249&lt;&gt;"",IF(M249&gt;150,"Tier 1",IF(M249&gt;50,"Tier 2","Tier 3")),"")</f>
        <v>Tier 2</v>
      </c>
      <c r="O249" t="s">
        <v>504</v>
      </c>
    </row>
    <row r="250" spans="1:17" x14ac:dyDescent="0.25">
      <c r="A250" t="s">
        <v>775</v>
      </c>
      <c r="B250" t="s">
        <v>55</v>
      </c>
      <c r="C250" t="s">
        <v>801</v>
      </c>
      <c r="D250" t="s">
        <v>802</v>
      </c>
      <c r="E250" s="2">
        <v>1833</v>
      </c>
      <c r="F250" s="3">
        <v>38</v>
      </c>
      <c r="G250" s="4">
        <v>0.32</v>
      </c>
      <c r="H250" s="5">
        <v>1.24</v>
      </c>
      <c r="I250" t="s">
        <v>58</v>
      </c>
      <c r="J250">
        <v>1.5</v>
      </c>
      <c r="K250">
        <v>1.3</v>
      </c>
      <c r="L250">
        <v>0.8</v>
      </c>
      <c r="M250" s="4">
        <f>IF(E250&lt;&gt;"",IF(F250&lt;&gt;"",(E250/(F250+1))*J250*K250*L250,""),"")</f>
        <v>73.320000000000007</v>
      </c>
      <c r="N250" t="str">
        <f>IF(M250&lt;&gt;"",IF(M250&gt;150,"Tier 1",IF(M250&gt;50,"Tier 2","Tier 3")),"")</f>
        <v>Tier 2</v>
      </c>
      <c r="O250" t="s">
        <v>803</v>
      </c>
    </row>
    <row r="251" spans="1:17" x14ac:dyDescent="0.25">
      <c r="A251" t="s">
        <v>807</v>
      </c>
      <c r="B251" t="s">
        <v>39</v>
      </c>
      <c r="C251" t="s">
        <v>822</v>
      </c>
      <c r="D251" t="s">
        <v>823</v>
      </c>
      <c r="E251" s="2">
        <v>1686</v>
      </c>
      <c r="F251" s="3">
        <v>31</v>
      </c>
      <c r="G251" s="4">
        <v>0.32</v>
      </c>
      <c r="H251" s="5">
        <v>0.7</v>
      </c>
      <c r="I251" t="s">
        <v>19</v>
      </c>
      <c r="J251">
        <v>1</v>
      </c>
      <c r="K251">
        <v>1</v>
      </c>
      <c r="L251">
        <v>1</v>
      </c>
      <c r="M251" s="4">
        <f>IF(E251&lt;&gt;"",IF(F251&lt;&gt;"",(E251/(F251+1))*J251*K251*L251,""),"")</f>
        <v>52.6875</v>
      </c>
      <c r="N251" t="str">
        <f>IF(M251&lt;&gt;"",IF(M251&gt;150,"Tier 1",IF(M251&gt;50,"Tier 2","Tier 3")),"")</f>
        <v>Tier 2</v>
      </c>
      <c r="O251" t="s">
        <v>824</v>
      </c>
    </row>
    <row r="252" spans="1:17" x14ac:dyDescent="0.25">
      <c r="A252" t="s">
        <v>519</v>
      </c>
      <c r="B252" t="s">
        <v>47</v>
      </c>
      <c r="C252" t="s">
        <v>523</v>
      </c>
      <c r="D252" t="s">
        <v>540</v>
      </c>
      <c r="E252" s="2">
        <v>950</v>
      </c>
      <c r="F252" s="3">
        <v>39</v>
      </c>
      <c r="G252" s="4">
        <v>0.32</v>
      </c>
      <c r="H252" s="5">
        <v>0.95</v>
      </c>
      <c r="I252" t="s">
        <v>19</v>
      </c>
      <c r="J252">
        <v>1</v>
      </c>
      <c r="K252">
        <v>1</v>
      </c>
      <c r="L252">
        <v>1</v>
      </c>
      <c r="M252" s="4">
        <f>IF(E252&lt;&gt;"",IF(F252&lt;&gt;"",(E252/(F252+1))*J252*K252*L252,""),"")</f>
        <v>23.75</v>
      </c>
      <c r="N252" t="str">
        <f>IF(M252&lt;&gt;"",IF(M252&gt;150,"Tier 1",IF(M252&gt;50,"Tier 2","Tier 3")),"")</f>
        <v>Tier 3</v>
      </c>
      <c r="O252" t="s">
        <v>541</v>
      </c>
    </row>
    <row r="253" spans="1:17" x14ac:dyDescent="0.25">
      <c r="A253" t="s">
        <v>905</v>
      </c>
      <c r="B253" t="s">
        <v>21</v>
      </c>
      <c r="C253" t="s">
        <v>909</v>
      </c>
      <c r="D253" t="s">
        <v>910</v>
      </c>
      <c r="E253" s="2">
        <v>17355</v>
      </c>
      <c r="F253" s="3">
        <v>31</v>
      </c>
      <c r="G253" s="4">
        <v>0.33</v>
      </c>
      <c r="H253" s="5">
        <v>1.08</v>
      </c>
      <c r="I253" t="s">
        <v>19</v>
      </c>
      <c r="J253">
        <v>1.5</v>
      </c>
      <c r="K253">
        <v>1</v>
      </c>
      <c r="L253">
        <v>1.2</v>
      </c>
      <c r="M253" s="4">
        <f>IF(E253&lt;&gt;"",IF(F253&lt;&gt;"",(E253/(F253+1))*J253*K253*L253,""),"")</f>
        <v>976.21875</v>
      </c>
      <c r="N253" t="str">
        <f>IF(M253&lt;&gt;"",IF(M253&gt;150,"Tier 1",IF(M253&gt;50,"Tier 2","Tier 3")),"")</f>
        <v>Tier 1</v>
      </c>
      <c r="O253" t="s">
        <v>911</v>
      </c>
    </row>
    <row r="254" spans="1:17" x14ac:dyDescent="0.25">
      <c r="A254" t="s">
        <v>129</v>
      </c>
      <c r="B254" t="s">
        <v>25</v>
      </c>
      <c r="C254" t="s">
        <v>130</v>
      </c>
      <c r="D254" t="s">
        <v>136</v>
      </c>
      <c r="E254" s="2">
        <v>12831</v>
      </c>
      <c r="F254" s="3">
        <v>39</v>
      </c>
      <c r="G254" s="4">
        <v>0.33</v>
      </c>
      <c r="H254" s="5">
        <v>1.29</v>
      </c>
      <c r="I254" t="s">
        <v>19</v>
      </c>
      <c r="J254">
        <v>1.5</v>
      </c>
      <c r="K254">
        <v>1</v>
      </c>
      <c r="L254">
        <v>1.2</v>
      </c>
      <c r="M254" s="4">
        <f>IF(E254&lt;&gt;"",IF(F254&lt;&gt;"",(E254/(F254+1))*J254*K254*L254,""),"")</f>
        <v>577.39499999999998</v>
      </c>
      <c r="N254" t="str">
        <f>IF(M254&lt;&gt;"",IF(M254&gt;150,"Tier 1",IF(M254&gt;50,"Tier 2","Tier 3")),"")</f>
        <v>Tier 1</v>
      </c>
      <c r="O254" t="s">
        <v>137</v>
      </c>
      <c r="P254" t="s">
        <v>1197</v>
      </c>
      <c r="Q254" t="s">
        <v>1197</v>
      </c>
    </row>
    <row r="255" spans="1:17" x14ac:dyDescent="0.25">
      <c r="A255" t="s">
        <v>839</v>
      </c>
      <c r="B255" t="s">
        <v>25</v>
      </c>
      <c r="C255" t="s">
        <v>846</v>
      </c>
      <c r="D255" t="s">
        <v>847</v>
      </c>
      <c r="E255" s="2">
        <v>11913</v>
      </c>
      <c r="F255" s="3">
        <v>28</v>
      </c>
      <c r="G255" s="4">
        <v>0.33</v>
      </c>
      <c r="H255" s="5">
        <v>0.26</v>
      </c>
      <c r="I255" t="s">
        <v>19</v>
      </c>
      <c r="J255">
        <v>1</v>
      </c>
      <c r="K255">
        <v>1</v>
      </c>
      <c r="L255">
        <v>1.2</v>
      </c>
      <c r="M255" s="4">
        <f>IF(E255&lt;&gt;"",IF(F255&lt;&gt;"",(E255/(F255+1))*J255*K255*L255,""),"")</f>
        <v>492.95172413793102</v>
      </c>
      <c r="N255" t="str">
        <f>IF(M255&lt;&gt;"",IF(M255&gt;150,"Tier 1",IF(M255&gt;50,"Tier 2","Tier 3")),"")</f>
        <v>Tier 1</v>
      </c>
      <c r="O255" t="s">
        <v>848</v>
      </c>
      <c r="P255" s="6"/>
    </row>
    <row r="256" spans="1:17" x14ac:dyDescent="0.25">
      <c r="A256" t="s">
        <v>357</v>
      </c>
      <c r="B256" t="s">
        <v>39</v>
      </c>
      <c r="C256" t="s">
        <v>374</v>
      </c>
      <c r="D256" t="s">
        <v>375</v>
      </c>
      <c r="E256" s="2">
        <v>7694</v>
      </c>
      <c r="F256" s="3">
        <v>36</v>
      </c>
      <c r="G256" s="4">
        <v>0.33</v>
      </c>
      <c r="H256" s="5">
        <v>1.45</v>
      </c>
      <c r="I256" t="s">
        <v>58</v>
      </c>
      <c r="J256">
        <v>1.5</v>
      </c>
      <c r="K256">
        <v>1.3</v>
      </c>
      <c r="L256">
        <v>1</v>
      </c>
      <c r="M256" s="4">
        <f>IF(E256&lt;&gt;"",IF(F256&lt;&gt;"",(E256/(F256+1))*J256*K256*L256,""),"")</f>
        <v>405.49459459459462</v>
      </c>
      <c r="N256" t="str">
        <f>IF(M256&lt;&gt;"",IF(M256&gt;150,"Tier 1",IF(M256&gt;50,"Tier 2","Tier 3")),"")</f>
        <v>Tier 1</v>
      </c>
      <c r="O256" t="s">
        <v>376</v>
      </c>
    </row>
    <row r="257" spans="1:15" x14ac:dyDescent="0.25">
      <c r="A257" t="s">
        <v>229</v>
      </c>
      <c r="B257" t="s">
        <v>16</v>
      </c>
      <c r="C257" t="s">
        <v>230</v>
      </c>
      <c r="D257" t="s">
        <v>231</v>
      </c>
      <c r="E257" s="2">
        <v>6958</v>
      </c>
      <c r="F257" s="3">
        <v>36</v>
      </c>
      <c r="G257" s="4">
        <v>0.33</v>
      </c>
      <c r="H257" s="5">
        <v>1.97</v>
      </c>
      <c r="I257" t="s">
        <v>19</v>
      </c>
      <c r="J257">
        <v>1.5</v>
      </c>
      <c r="K257">
        <v>1</v>
      </c>
      <c r="L257">
        <v>1.2</v>
      </c>
      <c r="M257" s="4">
        <f>IF(E257&lt;&gt;"",IF(F257&lt;&gt;"",(E257/(F257+1))*J257*K257*L257,""),"")</f>
        <v>338.49729729729728</v>
      </c>
      <c r="N257" t="str">
        <f>IF(M257&lt;&gt;"",IF(M257&gt;150,"Tier 1",IF(M257&gt;50,"Tier 2","Tier 3")),"")</f>
        <v>Tier 1</v>
      </c>
      <c r="O257" t="s">
        <v>232</v>
      </c>
    </row>
    <row r="258" spans="1:15" x14ac:dyDescent="0.25">
      <c r="A258" t="s">
        <v>839</v>
      </c>
      <c r="B258" t="s">
        <v>35</v>
      </c>
      <c r="C258" t="s">
        <v>853</v>
      </c>
      <c r="D258" t="s">
        <v>854</v>
      </c>
      <c r="E258" s="2">
        <v>9772</v>
      </c>
      <c r="F258" s="3">
        <v>29</v>
      </c>
      <c r="G258" s="4">
        <v>0.33</v>
      </c>
      <c r="H258" s="5">
        <v>0.42</v>
      </c>
      <c r="I258" t="s">
        <v>19</v>
      </c>
      <c r="J258">
        <v>1</v>
      </c>
      <c r="K258">
        <v>1</v>
      </c>
      <c r="L258">
        <v>1</v>
      </c>
      <c r="M258" s="4">
        <f>IF(E258&lt;&gt;"",IF(F258&lt;&gt;"",(E258/(F258+1))*J258*K258*L258,""),"")</f>
        <v>325.73333333333335</v>
      </c>
      <c r="N258" t="str">
        <f>IF(M258&lt;&gt;"",IF(M258&gt;150,"Tier 1",IF(M258&gt;50,"Tier 2","Tier 3")),"")</f>
        <v>Tier 1</v>
      </c>
      <c r="O258" t="s">
        <v>855</v>
      </c>
    </row>
    <row r="259" spans="1:15" x14ac:dyDescent="0.25">
      <c r="A259" t="s">
        <v>15</v>
      </c>
      <c r="B259" t="s">
        <v>35</v>
      </c>
      <c r="C259" t="s">
        <v>36</v>
      </c>
      <c r="D259" t="s">
        <v>37</v>
      </c>
      <c r="E259" s="2">
        <v>7560</v>
      </c>
      <c r="F259" s="3">
        <v>28</v>
      </c>
      <c r="G259" s="4">
        <v>0.33</v>
      </c>
      <c r="H259" s="5">
        <v>0.43</v>
      </c>
      <c r="I259" t="s">
        <v>19</v>
      </c>
      <c r="J259">
        <v>1</v>
      </c>
      <c r="K259">
        <v>1</v>
      </c>
      <c r="L259">
        <v>1</v>
      </c>
      <c r="M259" s="4">
        <f>IF(E259&lt;&gt;"",IF(F259&lt;&gt;"",(E259/(F259+1))*J259*K259*L259,""),"")</f>
        <v>260.68965517241378</v>
      </c>
      <c r="N259" t="str">
        <f>IF(M259&lt;&gt;"",IF(M259&gt;150,"Tier 1",IF(M259&gt;50,"Tier 2","Tier 3")),"")</f>
        <v>Tier 1</v>
      </c>
      <c r="O259" t="s">
        <v>38</v>
      </c>
    </row>
    <row r="260" spans="1:15" x14ac:dyDescent="0.25">
      <c r="A260" t="s">
        <v>647</v>
      </c>
      <c r="B260" t="s">
        <v>35</v>
      </c>
      <c r="C260" t="s">
        <v>659</v>
      </c>
      <c r="D260" t="s">
        <v>660</v>
      </c>
      <c r="E260" s="2">
        <v>4592</v>
      </c>
      <c r="F260" s="3">
        <v>39</v>
      </c>
      <c r="G260" s="4">
        <v>0.33</v>
      </c>
      <c r="H260" s="5">
        <v>1.54</v>
      </c>
      <c r="I260" t="s">
        <v>58</v>
      </c>
      <c r="J260">
        <v>1.5</v>
      </c>
      <c r="K260">
        <v>1.3</v>
      </c>
      <c r="L260">
        <v>1</v>
      </c>
      <c r="M260" s="4">
        <f>IF(E260&lt;&gt;"",IF(F260&lt;&gt;"",(E260/(F260+1))*J260*K260*L260,""),"")</f>
        <v>223.85999999999999</v>
      </c>
      <c r="N260" t="str">
        <f>IF(M260&lt;&gt;"",IF(M260&gt;150,"Tier 1",IF(M260&gt;50,"Tier 2","Tier 3")),"")</f>
        <v>Tier 1</v>
      </c>
      <c r="O260" t="s">
        <v>661</v>
      </c>
    </row>
    <row r="261" spans="1:15" x14ac:dyDescent="0.25">
      <c r="A261" t="s">
        <v>839</v>
      </c>
      <c r="B261" t="s">
        <v>39</v>
      </c>
      <c r="C261" t="s">
        <v>856</v>
      </c>
      <c r="D261" t="s">
        <v>857</v>
      </c>
      <c r="E261" s="2">
        <v>8004</v>
      </c>
      <c r="F261" s="3">
        <v>37</v>
      </c>
      <c r="G261" s="4">
        <v>0.33</v>
      </c>
      <c r="H261" s="5">
        <v>0.3</v>
      </c>
      <c r="I261" t="s">
        <v>19</v>
      </c>
      <c r="J261">
        <v>1</v>
      </c>
      <c r="K261">
        <v>1</v>
      </c>
      <c r="L261">
        <v>1</v>
      </c>
      <c r="M261" s="4">
        <f>IF(E261&lt;&gt;"",IF(F261&lt;&gt;"",(E261/(F261+1))*J261*K261*L261,""),"")</f>
        <v>210.63157894736841</v>
      </c>
      <c r="N261" t="str">
        <f>IF(M261&lt;&gt;"",IF(M261&gt;150,"Tier 1",IF(M261&gt;50,"Tier 2","Tier 3")),"")</f>
        <v>Tier 1</v>
      </c>
      <c r="O261" t="s">
        <v>858</v>
      </c>
    </row>
    <row r="262" spans="1:15" x14ac:dyDescent="0.25">
      <c r="A262" t="s">
        <v>905</v>
      </c>
      <c r="B262" t="s">
        <v>47</v>
      </c>
      <c r="C262" t="s">
        <v>929</v>
      </c>
      <c r="D262" t="s">
        <v>930</v>
      </c>
      <c r="E262" s="2">
        <v>3944</v>
      </c>
      <c r="F262" s="3">
        <v>37</v>
      </c>
      <c r="G262" s="4">
        <v>0.33</v>
      </c>
      <c r="H262" s="5">
        <v>1.23</v>
      </c>
      <c r="I262" t="s">
        <v>58</v>
      </c>
      <c r="J262">
        <v>1.5</v>
      </c>
      <c r="K262">
        <v>1.3</v>
      </c>
      <c r="L262">
        <v>1</v>
      </c>
      <c r="M262" s="4">
        <f>IF(E262&lt;&gt;"",IF(F262&lt;&gt;"",(E262/(F262+1))*J262*K262*L262,""),"")</f>
        <v>202.38947368421051</v>
      </c>
      <c r="N262" t="str">
        <f>IF(M262&lt;&gt;"",IF(M262&gt;150,"Tier 1",IF(M262&gt;50,"Tier 2","Tier 3")),"")</f>
        <v>Tier 1</v>
      </c>
      <c r="O262" t="s">
        <v>931</v>
      </c>
    </row>
    <row r="263" spans="1:15" x14ac:dyDescent="0.25">
      <c r="A263" t="s">
        <v>647</v>
      </c>
      <c r="B263" t="s">
        <v>43</v>
      </c>
      <c r="C263" t="s">
        <v>665</v>
      </c>
      <c r="D263" t="s">
        <v>666</v>
      </c>
      <c r="E263" s="2">
        <v>3821</v>
      </c>
      <c r="F263" s="3">
        <v>34</v>
      </c>
      <c r="G263" s="4">
        <v>0.33</v>
      </c>
      <c r="H263" s="5">
        <v>1.04</v>
      </c>
      <c r="I263" t="s">
        <v>19</v>
      </c>
      <c r="J263">
        <v>1.5</v>
      </c>
      <c r="K263">
        <v>1</v>
      </c>
      <c r="L263">
        <v>1</v>
      </c>
      <c r="M263" s="4">
        <f>IF(E263&lt;&gt;"",IF(F263&lt;&gt;"",(E263/(F263+1))*J263*K263*L263,""),"")</f>
        <v>163.75714285714287</v>
      </c>
      <c r="N263" t="str">
        <f>IF(M263&lt;&gt;"",IF(M263&gt;150,"Tier 1",IF(M263&gt;50,"Tier 2","Tier 3")),"")</f>
        <v>Tier 1</v>
      </c>
      <c r="O263" t="s">
        <v>667</v>
      </c>
    </row>
    <row r="264" spans="1:15" x14ac:dyDescent="0.25">
      <c r="A264" t="s">
        <v>1069</v>
      </c>
      <c r="B264" t="s">
        <v>60</v>
      </c>
      <c r="C264" t="s">
        <v>1098</v>
      </c>
      <c r="D264" t="s">
        <v>1099</v>
      </c>
      <c r="E264" s="2">
        <v>4163</v>
      </c>
      <c r="F264" s="3">
        <v>40</v>
      </c>
      <c r="G264" s="4">
        <v>0.33</v>
      </c>
      <c r="H264" s="5">
        <v>1.51</v>
      </c>
      <c r="I264" t="s">
        <v>58</v>
      </c>
      <c r="J264">
        <v>1.5</v>
      </c>
      <c r="K264">
        <v>1.3</v>
      </c>
      <c r="L264">
        <v>0.8</v>
      </c>
      <c r="M264" s="4">
        <f>IF(E264&lt;&gt;"",IF(F264&lt;&gt;"",(E264/(F264+1))*J264*K264*L264,""),"")</f>
        <v>158.39707317073172</v>
      </c>
      <c r="N264" t="str">
        <f>IF(M264&lt;&gt;"",IF(M264&gt;150,"Tier 1",IF(M264&gt;50,"Tier 2","Tier 3")),"")</f>
        <v>Tier 1</v>
      </c>
      <c r="O264" t="s">
        <v>1100</v>
      </c>
    </row>
    <row r="265" spans="1:15" x14ac:dyDescent="0.25">
      <c r="A265" t="s">
        <v>583</v>
      </c>
      <c r="B265" t="s">
        <v>39</v>
      </c>
      <c r="C265" t="s">
        <v>598</v>
      </c>
      <c r="D265" t="s">
        <v>599</v>
      </c>
      <c r="E265" s="2">
        <v>2732</v>
      </c>
      <c r="F265" s="3">
        <v>35</v>
      </c>
      <c r="G265" s="4">
        <v>0.33</v>
      </c>
      <c r="H265" s="5">
        <v>1.42</v>
      </c>
      <c r="I265" t="s">
        <v>58</v>
      </c>
      <c r="J265">
        <v>1.5</v>
      </c>
      <c r="K265">
        <v>1.3</v>
      </c>
      <c r="L265">
        <v>1</v>
      </c>
      <c r="M265" s="4">
        <f>IF(E265&lt;&gt;"",IF(F265&lt;&gt;"",(E265/(F265+1))*J265*K265*L265,""),"")</f>
        <v>147.98333333333332</v>
      </c>
      <c r="N265" t="str">
        <f>IF(M265&lt;&gt;"",IF(M265&gt;150,"Tier 1",IF(M265&gt;50,"Tier 2","Tier 3")),"")</f>
        <v>Tier 2</v>
      </c>
      <c r="O265" t="s">
        <v>600</v>
      </c>
    </row>
    <row r="266" spans="1:15" x14ac:dyDescent="0.25">
      <c r="A266" t="s">
        <v>391</v>
      </c>
      <c r="B266" t="s">
        <v>35</v>
      </c>
      <c r="C266" t="s">
        <v>403</v>
      </c>
      <c r="D266" t="s">
        <v>404</v>
      </c>
      <c r="E266" s="2">
        <v>2944</v>
      </c>
      <c r="F266" s="3">
        <v>29</v>
      </c>
      <c r="G266" s="4">
        <v>0.33</v>
      </c>
      <c r="H266" s="5">
        <v>1.04</v>
      </c>
      <c r="I266" t="s">
        <v>19</v>
      </c>
      <c r="J266">
        <v>1.5</v>
      </c>
      <c r="K266">
        <v>1</v>
      </c>
      <c r="L266">
        <v>1</v>
      </c>
      <c r="M266" s="4">
        <f>IF(E266&lt;&gt;"",IF(F266&lt;&gt;"",(E266/(F266+1))*J266*K266*L266,""),"")</f>
        <v>147.20000000000002</v>
      </c>
      <c r="N266" t="str">
        <f>IF(M266&lt;&gt;"",IF(M266&gt;150,"Tier 1",IF(M266&gt;50,"Tier 2","Tier 3")),"")</f>
        <v>Tier 2</v>
      </c>
      <c r="O266" t="s">
        <v>405</v>
      </c>
    </row>
    <row r="267" spans="1:15" x14ac:dyDescent="0.25">
      <c r="A267" t="s">
        <v>873</v>
      </c>
      <c r="B267" t="s">
        <v>60</v>
      </c>
      <c r="C267" t="s">
        <v>902</v>
      </c>
      <c r="D267" t="s">
        <v>903</v>
      </c>
      <c r="E267" s="2">
        <v>4302</v>
      </c>
      <c r="F267" s="3">
        <v>34</v>
      </c>
      <c r="G267" s="4">
        <v>0.33</v>
      </c>
      <c r="H267" s="5">
        <v>0.8</v>
      </c>
      <c r="I267" t="s">
        <v>58</v>
      </c>
      <c r="J267">
        <v>1</v>
      </c>
      <c r="K267">
        <v>1.3</v>
      </c>
      <c r="L267">
        <v>0.8</v>
      </c>
      <c r="M267" s="4">
        <f>IF(E267&lt;&gt;"",IF(F267&lt;&gt;"",(E267/(F267+1))*J267*K267*L267,""),"")</f>
        <v>127.83085714285716</v>
      </c>
      <c r="N267" t="str">
        <f>IF(M267&lt;&gt;"",IF(M267&gt;150,"Tier 1",IF(M267&gt;50,"Tier 2","Tier 3")),"")</f>
        <v>Tier 2</v>
      </c>
      <c r="O267" t="s">
        <v>904</v>
      </c>
    </row>
    <row r="268" spans="1:15" x14ac:dyDescent="0.25">
      <c r="A268" t="s">
        <v>551</v>
      </c>
      <c r="B268" t="s">
        <v>25</v>
      </c>
      <c r="C268" t="s">
        <v>552</v>
      </c>
      <c r="D268" t="s">
        <v>553</v>
      </c>
      <c r="E268" s="2">
        <v>2907</v>
      </c>
      <c r="F268" s="3">
        <v>29</v>
      </c>
      <c r="G268" s="4">
        <v>0.33</v>
      </c>
      <c r="H268" s="5">
        <v>0.66</v>
      </c>
      <c r="I268" t="s">
        <v>19</v>
      </c>
      <c r="J268">
        <v>1</v>
      </c>
      <c r="K268">
        <v>1</v>
      </c>
      <c r="L268">
        <v>1.2</v>
      </c>
      <c r="M268" s="4">
        <f>IF(E268&lt;&gt;"",IF(F268&lt;&gt;"",(E268/(F268+1))*J268*K268*L268,""),"")</f>
        <v>116.28</v>
      </c>
      <c r="N268" t="str">
        <f>IF(M268&lt;&gt;"",IF(M268&gt;150,"Tier 1",IF(M268&gt;50,"Tier 2","Tier 3")),"")</f>
        <v>Tier 2</v>
      </c>
      <c r="O268" t="s">
        <v>558</v>
      </c>
    </row>
    <row r="269" spans="1:15" x14ac:dyDescent="0.25">
      <c r="A269" t="s">
        <v>163</v>
      </c>
      <c r="B269" t="s">
        <v>51</v>
      </c>
      <c r="C269" t="s">
        <v>188</v>
      </c>
      <c r="D269" t="s">
        <v>189</v>
      </c>
      <c r="E269" s="2">
        <v>3395</v>
      </c>
      <c r="F269" s="3">
        <v>35</v>
      </c>
      <c r="G269" s="4">
        <v>0.33</v>
      </c>
      <c r="H269" s="5">
        <v>0.93</v>
      </c>
      <c r="I269" t="s">
        <v>58</v>
      </c>
      <c r="J269">
        <v>1</v>
      </c>
      <c r="K269">
        <v>1.3</v>
      </c>
      <c r="L269">
        <v>0.8</v>
      </c>
      <c r="M269" s="4">
        <f>IF(E269&lt;&gt;"",IF(F269&lt;&gt;"",(E269/(F269+1))*J269*K269*L269,""),"")</f>
        <v>98.077777777777783</v>
      </c>
      <c r="N269" t="str">
        <f>IF(M269&lt;&gt;"",IF(M269&gt;150,"Tier 1",IF(M269&gt;50,"Tier 2","Tier 3")),"")</f>
        <v>Tier 2</v>
      </c>
      <c r="O269" t="s">
        <v>190</v>
      </c>
    </row>
    <row r="270" spans="1:15" x14ac:dyDescent="0.25">
      <c r="A270" t="s">
        <v>423</v>
      </c>
      <c r="B270" t="s">
        <v>29</v>
      </c>
      <c r="C270" t="s">
        <v>431</v>
      </c>
      <c r="D270" t="s">
        <v>432</v>
      </c>
      <c r="E270" s="2">
        <v>2858</v>
      </c>
      <c r="F270" s="3">
        <v>31</v>
      </c>
      <c r="G270" s="4">
        <v>0.33</v>
      </c>
      <c r="H270" s="5">
        <v>0.95</v>
      </c>
      <c r="I270" t="s">
        <v>19</v>
      </c>
      <c r="J270">
        <v>1</v>
      </c>
      <c r="K270">
        <v>1</v>
      </c>
      <c r="L270">
        <v>1</v>
      </c>
      <c r="M270" s="4">
        <f>IF(E270&lt;&gt;"",IF(F270&lt;&gt;"",(E270/(F270+1))*J270*K270*L270,""),"")</f>
        <v>89.3125</v>
      </c>
      <c r="N270" t="str">
        <f>IF(M270&lt;&gt;"",IF(M270&gt;150,"Tier 1",IF(M270&gt;50,"Tier 2","Tier 3")),"")</f>
        <v>Tier 2</v>
      </c>
      <c r="O270" t="s">
        <v>433</v>
      </c>
    </row>
    <row r="271" spans="1:15" x14ac:dyDescent="0.25">
      <c r="A271" t="s">
        <v>743</v>
      </c>
      <c r="B271" t="s">
        <v>29</v>
      </c>
      <c r="C271" t="s">
        <v>751</v>
      </c>
      <c r="D271" t="s">
        <v>752</v>
      </c>
      <c r="E271" s="2">
        <v>1595</v>
      </c>
      <c r="F271" s="3">
        <v>31</v>
      </c>
      <c r="G271" s="4">
        <v>0.33</v>
      </c>
      <c r="H271" s="5">
        <v>1.19</v>
      </c>
      <c r="I271" t="s">
        <v>19</v>
      </c>
      <c r="J271">
        <v>1.5</v>
      </c>
      <c r="K271">
        <v>1</v>
      </c>
      <c r="L271">
        <v>1</v>
      </c>
      <c r="M271" s="4">
        <f>IF(E271&lt;&gt;"",IF(F271&lt;&gt;"",(E271/(F271+1))*J271*K271*L271,""),"")</f>
        <v>74.765625</v>
      </c>
      <c r="N271" t="str">
        <f>IF(M271&lt;&gt;"",IF(M271&gt;150,"Tier 1",IF(M271&gt;50,"Tier 2","Tier 3")),"")</f>
        <v>Tier 2</v>
      </c>
      <c r="O271" t="s">
        <v>753</v>
      </c>
    </row>
    <row r="272" spans="1:15" x14ac:dyDescent="0.25">
      <c r="A272" t="s">
        <v>423</v>
      </c>
      <c r="B272" t="s">
        <v>51</v>
      </c>
      <c r="C272" t="s">
        <v>446</v>
      </c>
      <c r="D272" t="s">
        <v>447</v>
      </c>
      <c r="E272" s="2">
        <v>1511</v>
      </c>
      <c r="F272" s="3">
        <v>32</v>
      </c>
      <c r="G272" s="4">
        <v>0.33</v>
      </c>
      <c r="H272" s="5">
        <v>1.37</v>
      </c>
      <c r="I272" t="s">
        <v>63</v>
      </c>
      <c r="J272">
        <v>1.5</v>
      </c>
      <c r="K272">
        <v>0.8</v>
      </c>
      <c r="L272">
        <v>0.8</v>
      </c>
      <c r="M272" s="4">
        <f>IF(E272&lt;&gt;"",IF(F272&lt;&gt;"",(E272/(F272+1))*J272*K272*L272,""),"")</f>
        <v>43.956363636363648</v>
      </c>
      <c r="N272" t="str">
        <f>IF(M272&lt;&gt;"",IF(M272&gt;150,"Tier 1",IF(M272&gt;50,"Tier 2","Tier 3")),"")</f>
        <v>Tier 3</v>
      </c>
      <c r="O272" t="s">
        <v>448</v>
      </c>
    </row>
    <row r="273" spans="1:17" x14ac:dyDescent="0.25">
      <c r="A273" t="s">
        <v>711</v>
      </c>
      <c r="B273" t="s">
        <v>55</v>
      </c>
      <c r="C273" t="s">
        <v>737</v>
      </c>
      <c r="D273" t="s">
        <v>738</v>
      </c>
      <c r="E273" s="2">
        <v>1224</v>
      </c>
      <c r="F273" s="3">
        <v>35</v>
      </c>
      <c r="G273" s="4">
        <v>0.33</v>
      </c>
      <c r="H273" s="5">
        <v>1.0900000000000001</v>
      </c>
      <c r="I273" t="s">
        <v>19</v>
      </c>
      <c r="J273">
        <v>1.5</v>
      </c>
      <c r="K273">
        <v>1</v>
      </c>
      <c r="L273">
        <v>0.8</v>
      </c>
      <c r="M273" s="4">
        <f>IF(E273&lt;&gt;"",IF(F273&lt;&gt;"",(E273/(F273+1))*J273*K273*L273,""),"")</f>
        <v>40.800000000000004</v>
      </c>
      <c r="N273" t="str">
        <f>IF(M273&lt;&gt;"",IF(M273&gt;150,"Tier 1",IF(M273&gt;50,"Tier 2","Tier 3")),"")</f>
        <v>Tier 3</v>
      </c>
      <c r="O273" t="s">
        <v>739</v>
      </c>
    </row>
    <row r="274" spans="1:17" x14ac:dyDescent="0.25">
      <c r="A274" t="s">
        <v>1133</v>
      </c>
      <c r="B274" t="s">
        <v>51</v>
      </c>
      <c r="C274" t="s">
        <v>1156</v>
      </c>
      <c r="D274" t="s">
        <v>1157</v>
      </c>
      <c r="E274" s="2">
        <v>1263</v>
      </c>
      <c r="F274" s="3">
        <v>34</v>
      </c>
      <c r="G274" s="4">
        <v>0.33</v>
      </c>
      <c r="H274" s="5">
        <v>0.84</v>
      </c>
      <c r="I274" t="s">
        <v>19</v>
      </c>
      <c r="J274">
        <v>1</v>
      </c>
      <c r="K274">
        <v>1</v>
      </c>
      <c r="L274">
        <v>0.8</v>
      </c>
      <c r="M274" s="4">
        <f>IF(E274&lt;&gt;"",IF(F274&lt;&gt;"",(E274/(F274+1))*J274*K274*L274,""),"")</f>
        <v>28.868571428571432</v>
      </c>
      <c r="N274" t="str">
        <f>IF(M274&lt;&gt;"",IF(M274&gt;150,"Tier 1",IF(M274&gt;50,"Tier 2","Tier 3")),"")</f>
        <v>Tier 3</v>
      </c>
      <c r="O274" t="s">
        <v>1158</v>
      </c>
    </row>
    <row r="275" spans="1:17" x14ac:dyDescent="0.25">
      <c r="A275" t="s">
        <v>163</v>
      </c>
      <c r="B275" t="s">
        <v>33</v>
      </c>
      <c r="C275" t="s">
        <v>167</v>
      </c>
      <c r="D275" t="s">
        <v>175</v>
      </c>
      <c r="E275" s="2">
        <v>8021</v>
      </c>
      <c r="F275" s="3">
        <v>41</v>
      </c>
      <c r="G275" s="4">
        <v>0.34</v>
      </c>
      <c r="H275" s="5">
        <v>1.33</v>
      </c>
      <c r="I275" t="s">
        <v>19</v>
      </c>
      <c r="J275">
        <v>1.5</v>
      </c>
      <c r="K275">
        <v>1</v>
      </c>
      <c r="L275">
        <v>1.2</v>
      </c>
      <c r="M275" s="4">
        <f>IF(E275&lt;&gt;"",IF(F275&lt;&gt;"",(E275/(F275+1))*J275*K275*L275,""),"")</f>
        <v>343.75714285714287</v>
      </c>
      <c r="N275" t="str">
        <f>IF(M275&lt;&gt;"",IF(M275&gt;150,"Tier 1",IF(M275&gt;50,"Tier 2","Tier 3")),"")</f>
        <v>Tier 1</v>
      </c>
      <c r="O275" t="s">
        <v>176</v>
      </c>
      <c r="P275" t="s">
        <v>1197</v>
      </c>
      <c r="Q275" t="s">
        <v>1197</v>
      </c>
    </row>
    <row r="276" spans="1:17" x14ac:dyDescent="0.25">
      <c r="A276" t="s">
        <v>647</v>
      </c>
      <c r="B276" t="s">
        <v>29</v>
      </c>
      <c r="C276" t="s">
        <v>655</v>
      </c>
      <c r="D276" t="s">
        <v>656</v>
      </c>
      <c r="E276" s="2">
        <v>4539</v>
      </c>
      <c r="F276" s="3">
        <v>32</v>
      </c>
      <c r="G276" s="4">
        <v>0.34</v>
      </c>
      <c r="H276" s="5">
        <v>1.48</v>
      </c>
      <c r="I276" t="s">
        <v>58</v>
      </c>
      <c r="J276">
        <v>1.5</v>
      </c>
      <c r="K276">
        <v>1.3</v>
      </c>
      <c r="L276">
        <v>1</v>
      </c>
      <c r="M276" s="4">
        <f>IF(E276&lt;&gt;"",IF(F276&lt;&gt;"",(E276/(F276+1))*J276*K276*L276,""),"")</f>
        <v>268.21363636363634</v>
      </c>
      <c r="N276" t="str">
        <f>IF(M276&lt;&gt;"",IF(M276&gt;150,"Tier 1",IF(M276&gt;50,"Tier 2","Tier 3")),"")</f>
        <v>Tier 1</v>
      </c>
      <c r="O276" t="s">
        <v>657</v>
      </c>
    </row>
    <row r="277" spans="1:17" x14ac:dyDescent="0.25">
      <c r="A277" t="s">
        <v>551</v>
      </c>
      <c r="B277" t="s">
        <v>16</v>
      </c>
      <c r="C277" t="s">
        <v>552</v>
      </c>
      <c r="D277" t="s">
        <v>553</v>
      </c>
      <c r="E277" s="2">
        <v>3638</v>
      </c>
      <c r="F277" s="3">
        <v>29</v>
      </c>
      <c r="G277" s="4">
        <v>0.34</v>
      </c>
      <c r="H277" s="5">
        <v>0.92</v>
      </c>
      <c r="I277" t="s">
        <v>19</v>
      </c>
      <c r="J277">
        <v>1</v>
      </c>
      <c r="K277">
        <v>1</v>
      </c>
      <c r="L277">
        <v>1.2</v>
      </c>
      <c r="M277" s="4">
        <f>IF(E277&lt;&gt;"",IF(F277&lt;&gt;"",(E277/(F277+1))*J277*K277*L277,""),"")</f>
        <v>145.51999999999998</v>
      </c>
      <c r="N277" t="str">
        <f>IF(M277&lt;&gt;"",IF(M277&gt;150,"Tier 1",IF(M277&gt;50,"Tier 2","Tier 3")),"")</f>
        <v>Tier 2</v>
      </c>
      <c r="O277" t="s">
        <v>554</v>
      </c>
    </row>
    <row r="278" spans="1:17" x14ac:dyDescent="0.25">
      <c r="A278" t="s">
        <v>519</v>
      </c>
      <c r="B278" t="s">
        <v>33</v>
      </c>
      <c r="C278" t="s">
        <v>523</v>
      </c>
      <c r="D278" t="s">
        <v>524</v>
      </c>
      <c r="E278" s="2">
        <v>2666</v>
      </c>
      <c r="F278" s="3">
        <v>32</v>
      </c>
      <c r="G278" s="4">
        <v>0.34</v>
      </c>
      <c r="H278" s="5">
        <v>1.32</v>
      </c>
      <c r="I278" t="s">
        <v>19</v>
      </c>
      <c r="J278">
        <v>1.5</v>
      </c>
      <c r="K278">
        <v>1</v>
      </c>
      <c r="L278">
        <v>1.2</v>
      </c>
      <c r="M278" s="4">
        <f>IF(E278&lt;&gt;"",IF(F278&lt;&gt;"",(E278/(F278+1))*J278*K278*L278,""),"")</f>
        <v>145.41818181818181</v>
      </c>
      <c r="N278" t="str">
        <f>IF(M278&lt;&gt;"",IF(M278&gt;150,"Tier 1",IF(M278&gt;50,"Tier 2","Tier 3")),"")</f>
        <v>Tier 2</v>
      </c>
      <c r="O278" t="s">
        <v>530</v>
      </c>
    </row>
    <row r="279" spans="1:17" x14ac:dyDescent="0.25">
      <c r="A279" t="s">
        <v>615</v>
      </c>
      <c r="B279" t="s">
        <v>16</v>
      </c>
      <c r="C279" t="s">
        <v>616</v>
      </c>
      <c r="D279" t="s">
        <v>617</v>
      </c>
      <c r="E279" s="2">
        <v>5099</v>
      </c>
      <c r="F279" s="3">
        <v>36</v>
      </c>
      <c r="G279" s="4">
        <v>0.34</v>
      </c>
      <c r="H279" s="5">
        <v>0.87</v>
      </c>
      <c r="I279" t="s">
        <v>63</v>
      </c>
      <c r="J279">
        <v>1</v>
      </c>
      <c r="K279">
        <v>0.8</v>
      </c>
      <c r="L279">
        <v>1.2</v>
      </c>
      <c r="M279" s="4">
        <f>IF(E279&lt;&gt;"",IF(F279&lt;&gt;"",(E279/(F279+1))*J279*K279*L279,""),"")</f>
        <v>132.29837837837837</v>
      </c>
      <c r="N279" t="str">
        <f>IF(M279&lt;&gt;"",IF(M279&gt;150,"Tier 1",IF(M279&gt;50,"Tier 2","Tier 3")),"")</f>
        <v>Tier 2</v>
      </c>
      <c r="O279" t="s">
        <v>618</v>
      </c>
    </row>
    <row r="280" spans="1:17" x14ac:dyDescent="0.25">
      <c r="A280" t="s">
        <v>1069</v>
      </c>
      <c r="B280" t="s">
        <v>47</v>
      </c>
      <c r="C280" t="s">
        <v>1073</v>
      </c>
      <c r="D280" t="s">
        <v>1090</v>
      </c>
      <c r="E280" s="2">
        <v>2380</v>
      </c>
      <c r="F280" s="3">
        <v>36</v>
      </c>
      <c r="G280" s="4">
        <v>0.34</v>
      </c>
      <c r="H280" s="5">
        <v>1.28</v>
      </c>
      <c r="I280" t="s">
        <v>58</v>
      </c>
      <c r="J280">
        <v>1.5</v>
      </c>
      <c r="K280">
        <v>1.3</v>
      </c>
      <c r="L280">
        <v>1</v>
      </c>
      <c r="M280" s="4">
        <f>IF(E280&lt;&gt;"",IF(F280&lt;&gt;"",(E280/(F280+1))*J280*K280*L280,""),"")</f>
        <v>125.43243243243244</v>
      </c>
      <c r="N280" t="str">
        <f>IF(M280&lt;&gt;"",IF(M280&gt;150,"Tier 1",IF(M280&gt;50,"Tier 2","Tier 3")),"")</f>
        <v>Tier 2</v>
      </c>
      <c r="O280" t="s">
        <v>1091</v>
      </c>
    </row>
    <row r="281" spans="1:17" x14ac:dyDescent="0.25">
      <c r="A281" t="s">
        <v>519</v>
      </c>
      <c r="B281" t="s">
        <v>16</v>
      </c>
      <c r="C281" t="s">
        <v>520</v>
      </c>
      <c r="D281" t="s">
        <v>521</v>
      </c>
      <c r="E281" s="2">
        <v>2861</v>
      </c>
      <c r="F281" s="3">
        <v>36</v>
      </c>
      <c r="G281" s="4">
        <v>0.34</v>
      </c>
      <c r="H281" s="5">
        <v>0.77</v>
      </c>
      <c r="I281" t="s">
        <v>58</v>
      </c>
      <c r="J281">
        <v>1</v>
      </c>
      <c r="K281">
        <v>1.3</v>
      </c>
      <c r="L281">
        <v>1.2</v>
      </c>
      <c r="M281" s="4">
        <f>IF(E281&lt;&gt;"",IF(F281&lt;&gt;"",(E281/(F281+1))*J281*K281*L281,""),"")</f>
        <v>120.62594594594594</v>
      </c>
      <c r="N281" t="str">
        <f>IF(M281&lt;&gt;"",IF(M281&gt;150,"Tier 1",IF(M281&gt;50,"Tier 2","Tier 3")),"")</f>
        <v>Tier 2</v>
      </c>
      <c r="O281" t="s">
        <v>522</v>
      </c>
    </row>
    <row r="282" spans="1:17" x14ac:dyDescent="0.25">
      <c r="A282" t="s">
        <v>455</v>
      </c>
      <c r="B282" t="s">
        <v>51</v>
      </c>
      <c r="C282" t="s">
        <v>478</v>
      </c>
      <c r="D282" t="s">
        <v>479</v>
      </c>
      <c r="E282" s="2">
        <v>3619</v>
      </c>
      <c r="F282" s="3">
        <v>31</v>
      </c>
      <c r="G282" s="4">
        <v>0.34</v>
      </c>
      <c r="H282" s="5">
        <v>0.39</v>
      </c>
      <c r="I282" t="s">
        <v>58</v>
      </c>
      <c r="J282">
        <v>1</v>
      </c>
      <c r="K282">
        <v>1.3</v>
      </c>
      <c r="L282">
        <v>0.8</v>
      </c>
      <c r="M282" s="4">
        <f>IF(E282&lt;&gt;"",IF(F282&lt;&gt;"",(E282/(F282+1))*J282*K282*L282,""),"")</f>
        <v>117.61750000000001</v>
      </c>
      <c r="N282" t="str">
        <f>IF(M282&lt;&gt;"",IF(M282&gt;150,"Tier 1",IF(M282&gt;50,"Tier 2","Tier 3")),"")</f>
        <v>Tier 2</v>
      </c>
      <c r="O282" t="s">
        <v>480</v>
      </c>
    </row>
    <row r="283" spans="1:17" x14ac:dyDescent="0.25">
      <c r="A283" t="s">
        <v>1165</v>
      </c>
      <c r="B283" t="s">
        <v>16</v>
      </c>
      <c r="C283" t="s">
        <v>1166</v>
      </c>
      <c r="D283" t="s">
        <v>1167</v>
      </c>
      <c r="E283" s="2">
        <v>2720</v>
      </c>
      <c r="F283" s="3">
        <v>36</v>
      </c>
      <c r="G283" s="4">
        <v>0.34</v>
      </c>
      <c r="H283" s="5">
        <v>1.28</v>
      </c>
      <c r="I283" t="s">
        <v>63</v>
      </c>
      <c r="J283">
        <v>1.5</v>
      </c>
      <c r="K283">
        <v>0.8</v>
      </c>
      <c r="L283">
        <v>1.2</v>
      </c>
      <c r="M283" s="4">
        <f>IF(E283&lt;&gt;"",IF(F283&lt;&gt;"",(E283/(F283+1))*J283*K283*L283,""),"")</f>
        <v>105.85945945945947</v>
      </c>
      <c r="N283" t="str">
        <f>IF(M283&lt;&gt;"",IF(M283&gt;150,"Tier 1",IF(M283&gt;50,"Tier 2","Tier 3")),"")</f>
        <v>Tier 2</v>
      </c>
      <c r="O283" t="s">
        <v>1168</v>
      </c>
    </row>
    <row r="284" spans="1:17" x14ac:dyDescent="0.25">
      <c r="A284" t="s">
        <v>423</v>
      </c>
      <c r="B284" t="s">
        <v>60</v>
      </c>
      <c r="C284" t="s">
        <v>452</v>
      </c>
      <c r="D284" t="s">
        <v>453</v>
      </c>
      <c r="E284" s="2">
        <v>2240</v>
      </c>
      <c r="F284" s="3">
        <v>35</v>
      </c>
      <c r="G284" s="4">
        <v>0.34</v>
      </c>
      <c r="H284" s="5">
        <v>1.2</v>
      </c>
      <c r="I284" t="s">
        <v>58</v>
      </c>
      <c r="J284">
        <v>1.5</v>
      </c>
      <c r="K284">
        <v>1.3</v>
      </c>
      <c r="L284">
        <v>0.8</v>
      </c>
      <c r="M284" s="4">
        <f>IF(E284&lt;&gt;"",IF(F284&lt;&gt;"",(E284/(F284+1))*J284*K284*L284,""),"")</f>
        <v>97.066666666666663</v>
      </c>
      <c r="N284" t="str">
        <f>IF(M284&lt;&gt;"",IF(M284&gt;150,"Tier 1",IF(M284&gt;50,"Tier 2","Tier 3")),"")</f>
        <v>Tier 2</v>
      </c>
      <c r="O284" t="s">
        <v>454</v>
      </c>
    </row>
    <row r="285" spans="1:17" x14ac:dyDescent="0.25">
      <c r="A285" t="s">
        <v>1165</v>
      </c>
      <c r="B285" t="s">
        <v>39</v>
      </c>
      <c r="C285" t="s">
        <v>1180</v>
      </c>
      <c r="D285" t="s">
        <v>1181</v>
      </c>
      <c r="E285" s="2">
        <v>1848</v>
      </c>
      <c r="F285" s="3">
        <v>42</v>
      </c>
      <c r="G285" s="4">
        <v>0.34</v>
      </c>
      <c r="H285" s="5">
        <v>1.59</v>
      </c>
      <c r="I285" t="s">
        <v>58</v>
      </c>
      <c r="J285">
        <v>1.5</v>
      </c>
      <c r="K285">
        <v>1.3</v>
      </c>
      <c r="L285">
        <v>1</v>
      </c>
      <c r="M285" s="4">
        <f>IF(E285&lt;&gt;"",IF(F285&lt;&gt;"",(E285/(F285+1))*J285*K285*L285,""),"")</f>
        <v>83.804651162790691</v>
      </c>
      <c r="N285" t="str">
        <f>IF(M285&lt;&gt;"",IF(M285&gt;150,"Tier 1",IF(M285&gt;50,"Tier 2","Tier 3")),"")</f>
        <v>Tier 2</v>
      </c>
      <c r="O285" t="s">
        <v>1182</v>
      </c>
    </row>
    <row r="286" spans="1:17" x14ac:dyDescent="0.25">
      <c r="A286" t="s">
        <v>941</v>
      </c>
      <c r="B286" t="s">
        <v>60</v>
      </c>
      <c r="C286" t="s">
        <v>970</v>
      </c>
      <c r="D286" t="s">
        <v>971</v>
      </c>
      <c r="E286" s="2">
        <v>2324</v>
      </c>
      <c r="F286" s="3">
        <v>34</v>
      </c>
      <c r="G286" s="4">
        <v>0.34</v>
      </c>
      <c r="H286" s="5">
        <v>0.9</v>
      </c>
      <c r="I286" t="s">
        <v>19</v>
      </c>
      <c r="J286">
        <v>1</v>
      </c>
      <c r="K286">
        <v>1</v>
      </c>
      <c r="L286">
        <v>0.8</v>
      </c>
      <c r="M286" s="4">
        <f>IF(E286&lt;&gt;"",IF(F286&lt;&gt;"",(E286/(F286+1))*J286*K286*L286,""),"")</f>
        <v>53.120000000000005</v>
      </c>
      <c r="N286" t="str">
        <f>IF(M286&lt;&gt;"",IF(M286&gt;150,"Tier 1",IF(M286&gt;50,"Tier 2","Tier 3")),"")</f>
        <v>Tier 2</v>
      </c>
      <c r="O286" t="s">
        <v>972</v>
      </c>
    </row>
    <row r="287" spans="1:17" x14ac:dyDescent="0.25">
      <c r="A287" t="s">
        <v>519</v>
      </c>
      <c r="B287" t="s">
        <v>51</v>
      </c>
      <c r="C287" t="s">
        <v>542</v>
      </c>
      <c r="D287" t="s">
        <v>543</v>
      </c>
      <c r="E287" s="2">
        <v>1218</v>
      </c>
      <c r="F287" s="3">
        <v>33</v>
      </c>
      <c r="G287" s="4">
        <v>0.34</v>
      </c>
      <c r="H287" s="5">
        <v>1.25</v>
      </c>
      <c r="I287" t="s">
        <v>19</v>
      </c>
      <c r="J287">
        <v>1.5</v>
      </c>
      <c r="K287">
        <v>1</v>
      </c>
      <c r="L287">
        <v>0.8</v>
      </c>
      <c r="M287" s="4">
        <f>IF(E287&lt;&gt;"",IF(F287&lt;&gt;"",(E287/(F287+1))*J287*K287*L287,""),"")</f>
        <v>42.988235294117651</v>
      </c>
      <c r="N287" t="str">
        <f>IF(M287&lt;&gt;"",IF(M287&gt;150,"Tier 1",IF(M287&gt;50,"Tier 2","Tier 3")),"")</f>
        <v>Tier 3</v>
      </c>
      <c r="O287" t="s">
        <v>544</v>
      </c>
    </row>
    <row r="288" spans="1:17" x14ac:dyDescent="0.25">
      <c r="A288" t="s">
        <v>487</v>
      </c>
      <c r="B288" t="s">
        <v>55</v>
      </c>
      <c r="C288" t="s">
        <v>513</v>
      </c>
      <c r="D288" t="s">
        <v>514</v>
      </c>
      <c r="E288" s="2">
        <v>1134</v>
      </c>
      <c r="F288" s="3">
        <v>31</v>
      </c>
      <c r="G288" s="4">
        <v>0.34</v>
      </c>
      <c r="H288" s="5">
        <v>1.18</v>
      </c>
      <c r="I288" t="s">
        <v>19</v>
      </c>
      <c r="J288">
        <v>1.5</v>
      </c>
      <c r="K288">
        <v>1</v>
      </c>
      <c r="L288">
        <v>0.8</v>
      </c>
      <c r="M288" s="4">
        <f>IF(E288&lt;&gt;"",IF(F288&lt;&gt;"",(E288/(F288+1))*J288*K288*L288,""),"")</f>
        <v>42.525000000000006</v>
      </c>
      <c r="N288" t="str">
        <f>IF(M288&lt;&gt;"",IF(M288&gt;150,"Tier 1",IF(M288&gt;50,"Tier 2","Tier 3")),"")</f>
        <v>Tier 3</v>
      </c>
      <c r="O288" t="s">
        <v>515</v>
      </c>
    </row>
    <row r="289" spans="1:16" x14ac:dyDescent="0.25">
      <c r="A289" t="s">
        <v>583</v>
      </c>
      <c r="B289" t="s">
        <v>55</v>
      </c>
      <c r="C289" t="s">
        <v>609</v>
      </c>
      <c r="D289" t="s">
        <v>610</v>
      </c>
      <c r="E289" s="2">
        <v>1111</v>
      </c>
      <c r="F289" s="3">
        <v>35</v>
      </c>
      <c r="G289" s="4">
        <v>0.34</v>
      </c>
      <c r="H289" s="5">
        <v>1.53</v>
      </c>
      <c r="I289" t="s">
        <v>19</v>
      </c>
      <c r="J289">
        <v>1.5</v>
      </c>
      <c r="K289">
        <v>1</v>
      </c>
      <c r="L289">
        <v>0.8</v>
      </c>
      <c r="M289" s="4">
        <f>IF(E289&lt;&gt;"",IF(F289&lt;&gt;"",(E289/(F289+1))*J289*K289*L289,""),"")</f>
        <v>37.033333333333331</v>
      </c>
      <c r="N289" t="str">
        <f>IF(M289&lt;&gt;"",IF(M289&gt;150,"Tier 1",IF(M289&gt;50,"Tier 2","Tier 3")),"")</f>
        <v>Tier 3</v>
      </c>
      <c r="O289" t="s">
        <v>611</v>
      </c>
    </row>
    <row r="290" spans="1:16" x14ac:dyDescent="0.25">
      <c r="A290" t="s">
        <v>325</v>
      </c>
      <c r="B290" t="s">
        <v>47</v>
      </c>
      <c r="C290" t="s">
        <v>329</v>
      </c>
      <c r="D290" t="s">
        <v>346</v>
      </c>
      <c r="E290" s="2">
        <v>928</v>
      </c>
      <c r="F290" s="3">
        <v>31</v>
      </c>
      <c r="G290" s="4">
        <v>0.34</v>
      </c>
      <c r="H290" s="5">
        <v>0.8</v>
      </c>
      <c r="I290" t="s">
        <v>19</v>
      </c>
      <c r="J290">
        <v>1</v>
      </c>
      <c r="K290">
        <v>1</v>
      </c>
      <c r="L290">
        <v>1</v>
      </c>
      <c r="M290" s="4">
        <f>IF(E290&lt;&gt;"",IF(F290&lt;&gt;"",(E290/(F290+1))*J290*K290*L290,""),"")</f>
        <v>29</v>
      </c>
      <c r="N290" t="str">
        <f>IF(M290&lt;&gt;"",IF(M290&gt;150,"Tier 1",IF(M290&gt;50,"Tier 2","Tier 3")),"")</f>
        <v>Tier 3</v>
      </c>
      <c r="O290" t="s">
        <v>347</v>
      </c>
    </row>
    <row r="291" spans="1:16" x14ac:dyDescent="0.25">
      <c r="A291" t="s">
        <v>839</v>
      </c>
      <c r="B291" t="s">
        <v>16</v>
      </c>
      <c r="C291" t="s">
        <v>840</v>
      </c>
      <c r="D291" t="s">
        <v>841</v>
      </c>
      <c r="E291" s="2">
        <v>15755</v>
      </c>
      <c r="F291" s="3">
        <v>38</v>
      </c>
      <c r="G291" s="4">
        <v>0.35</v>
      </c>
      <c r="H291" s="5">
        <v>0.3</v>
      </c>
      <c r="I291" t="s">
        <v>19</v>
      </c>
      <c r="J291">
        <v>1</v>
      </c>
      <c r="K291">
        <v>1</v>
      </c>
      <c r="L291">
        <v>1.2</v>
      </c>
      <c r="M291" s="4">
        <f>IF(E291&lt;&gt;"",IF(F291&lt;&gt;"",(E291/(F291+1))*J291*K291*L291,""),"")</f>
        <v>484.76923076923072</v>
      </c>
      <c r="N291" t="str">
        <f>IF(M291&lt;&gt;"",IF(M291&gt;150,"Tier 1",IF(M291&gt;50,"Tier 2","Tier 3")),"")</f>
        <v>Tier 1</v>
      </c>
      <c r="O291" t="s">
        <v>842</v>
      </c>
      <c r="P291" s="6"/>
    </row>
    <row r="292" spans="1:16" x14ac:dyDescent="0.25">
      <c r="A292" t="s">
        <v>873</v>
      </c>
      <c r="B292" t="s">
        <v>33</v>
      </c>
      <c r="C292" t="s">
        <v>877</v>
      </c>
      <c r="D292" t="s">
        <v>878</v>
      </c>
      <c r="E292" s="2">
        <v>6223</v>
      </c>
      <c r="F292" s="3">
        <v>29</v>
      </c>
      <c r="G292" s="4">
        <v>0.35</v>
      </c>
      <c r="H292" s="5">
        <v>0.85</v>
      </c>
      <c r="I292" t="s">
        <v>19</v>
      </c>
      <c r="J292">
        <v>1</v>
      </c>
      <c r="K292">
        <v>1</v>
      </c>
      <c r="L292">
        <v>1.2</v>
      </c>
      <c r="M292" s="4">
        <f>IF(E292&lt;&gt;"",IF(F292&lt;&gt;"",(E292/(F292+1))*J292*K292*L292,""),"")</f>
        <v>248.92</v>
      </c>
      <c r="N292" t="str">
        <f>IF(M292&lt;&gt;"",IF(M292&gt;150,"Tier 1",IF(M292&gt;50,"Tier 2","Tier 3")),"")</f>
        <v>Tier 1</v>
      </c>
      <c r="O292" t="s">
        <v>884</v>
      </c>
    </row>
    <row r="293" spans="1:16" x14ac:dyDescent="0.25">
      <c r="A293" t="s">
        <v>391</v>
      </c>
      <c r="B293" t="s">
        <v>33</v>
      </c>
      <c r="C293" t="s">
        <v>395</v>
      </c>
      <c r="D293" t="s">
        <v>396</v>
      </c>
      <c r="E293" s="2">
        <v>4500</v>
      </c>
      <c r="F293" s="3">
        <v>32</v>
      </c>
      <c r="G293" s="4">
        <v>0.35</v>
      </c>
      <c r="H293" s="5">
        <v>1.58</v>
      </c>
      <c r="I293" t="s">
        <v>19</v>
      </c>
      <c r="J293">
        <v>1.5</v>
      </c>
      <c r="K293">
        <v>1</v>
      </c>
      <c r="L293">
        <v>1.2</v>
      </c>
      <c r="M293" s="4">
        <f>IF(E293&lt;&gt;"",IF(F293&lt;&gt;"",(E293/(F293+1))*J293*K293*L293,""),"")</f>
        <v>245.45454545454547</v>
      </c>
      <c r="N293" t="str">
        <f>IF(M293&lt;&gt;"",IF(M293&gt;150,"Tier 1",IF(M293&gt;50,"Tier 2","Tier 3")),"")</f>
        <v>Tier 1</v>
      </c>
      <c r="O293" t="s">
        <v>402</v>
      </c>
    </row>
    <row r="294" spans="1:16" x14ac:dyDescent="0.25">
      <c r="A294" t="s">
        <v>775</v>
      </c>
      <c r="B294" t="s">
        <v>16</v>
      </c>
      <c r="C294" t="s">
        <v>776</v>
      </c>
      <c r="D294" t="s">
        <v>777</v>
      </c>
      <c r="E294" s="2">
        <v>8934</v>
      </c>
      <c r="F294" s="3">
        <v>34</v>
      </c>
      <c r="G294" s="4">
        <v>0.35</v>
      </c>
      <c r="H294" s="5">
        <v>0.95</v>
      </c>
      <c r="I294" t="s">
        <v>63</v>
      </c>
      <c r="J294">
        <v>1</v>
      </c>
      <c r="K294">
        <v>0.8</v>
      </c>
      <c r="L294">
        <v>1.2</v>
      </c>
      <c r="M294" s="4">
        <f>IF(E294&lt;&gt;"",IF(F294&lt;&gt;"",(E294/(F294+1))*J294*K294*L294,""),"")</f>
        <v>245.04685714285714</v>
      </c>
      <c r="N294" t="str">
        <f>IF(M294&lt;&gt;"",IF(M294&gt;150,"Tier 1",IF(M294&gt;50,"Tier 2","Tier 3")),"")</f>
        <v>Tier 1</v>
      </c>
      <c r="O294" t="s">
        <v>778</v>
      </c>
    </row>
    <row r="295" spans="1:16" x14ac:dyDescent="0.25">
      <c r="A295" t="s">
        <v>229</v>
      </c>
      <c r="B295" t="s">
        <v>29</v>
      </c>
      <c r="C295" t="s">
        <v>237</v>
      </c>
      <c r="D295" t="s">
        <v>238</v>
      </c>
      <c r="E295" s="2">
        <v>4085</v>
      </c>
      <c r="F295" s="3">
        <v>38</v>
      </c>
      <c r="G295" s="4">
        <v>0.35</v>
      </c>
      <c r="H295" s="5">
        <v>1.18</v>
      </c>
      <c r="I295" t="s">
        <v>58</v>
      </c>
      <c r="J295">
        <v>1.5</v>
      </c>
      <c r="K295">
        <v>1.3</v>
      </c>
      <c r="L295">
        <v>1</v>
      </c>
      <c r="M295" s="4">
        <f>IF(E295&lt;&gt;"",IF(F295&lt;&gt;"",(E295/(F295+1))*J295*K295*L295,""),"")</f>
        <v>204.25</v>
      </c>
      <c r="N295" t="str">
        <f>IF(M295&lt;&gt;"",IF(M295&gt;150,"Tier 1",IF(M295&gt;50,"Tier 2","Tier 3")),"")</f>
        <v>Tier 1</v>
      </c>
      <c r="O295" t="s">
        <v>239</v>
      </c>
    </row>
    <row r="296" spans="1:16" x14ac:dyDescent="0.25">
      <c r="A296" t="s">
        <v>487</v>
      </c>
      <c r="B296" t="s">
        <v>33</v>
      </c>
      <c r="C296" t="s">
        <v>491</v>
      </c>
      <c r="D296" t="s">
        <v>492</v>
      </c>
      <c r="E296" s="2">
        <v>5407</v>
      </c>
      <c r="F296" s="3">
        <v>32</v>
      </c>
      <c r="G296" s="4">
        <v>0.35</v>
      </c>
      <c r="H296" s="5">
        <v>0.74</v>
      </c>
      <c r="I296" t="s">
        <v>19</v>
      </c>
      <c r="J296">
        <v>1</v>
      </c>
      <c r="K296">
        <v>1</v>
      </c>
      <c r="L296">
        <v>1.2</v>
      </c>
      <c r="M296" s="4">
        <f>IF(E296&lt;&gt;"",IF(F296&lt;&gt;"",(E296/(F296+1))*J296*K296*L296,""),"")</f>
        <v>196.6181818181818</v>
      </c>
      <c r="N296" t="str">
        <f>IF(M296&lt;&gt;"",IF(M296&gt;150,"Tier 1",IF(M296&gt;50,"Tier 2","Tier 3")),"")</f>
        <v>Tier 1</v>
      </c>
      <c r="O296" t="s">
        <v>498</v>
      </c>
    </row>
    <row r="297" spans="1:16" x14ac:dyDescent="0.25">
      <c r="A297" t="s">
        <v>423</v>
      </c>
      <c r="B297" t="s">
        <v>16</v>
      </c>
      <c r="C297" t="s">
        <v>424</v>
      </c>
      <c r="D297" t="s">
        <v>425</v>
      </c>
      <c r="E297" s="2">
        <v>3703</v>
      </c>
      <c r="F297" s="3">
        <v>34</v>
      </c>
      <c r="G297" s="4">
        <v>0.35</v>
      </c>
      <c r="H297" s="5">
        <v>1.34</v>
      </c>
      <c r="I297" t="s">
        <v>19</v>
      </c>
      <c r="J297">
        <v>1.5</v>
      </c>
      <c r="K297">
        <v>1</v>
      </c>
      <c r="L297">
        <v>1.2</v>
      </c>
      <c r="M297" s="4">
        <f>IF(E297&lt;&gt;"",IF(F297&lt;&gt;"",(E297/(F297+1))*J297*K297*L297,""),"")</f>
        <v>190.43999999999997</v>
      </c>
      <c r="N297" t="str">
        <f>IF(M297&lt;&gt;"",IF(M297&gt;150,"Tier 1",IF(M297&gt;50,"Tier 2","Tier 3")),"")</f>
        <v>Tier 1</v>
      </c>
      <c r="O297" t="s">
        <v>426</v>
      </c>
    </row>
    <row r="298" spans="1:16" x14ac:dyDescent="0.25">
      <c r="A298" t="s">
        <v>1165</v>
      </c>
      <c r="B298" t="s">
        <v>25</v>
      </c>
      <c r="C298" t="s">
        <v>1166</v>
      </c>
      <c r="D298" t="s">
        <v>1167</v>
      </c>
      <c r="E298" s="2">
        <v>2386</v>
      </c>
      <c r="F298" s="3">
        <v>32</v>
      </c>
      <c r="G298" s="4">
        <v>0.35</v>
      </c>
      <c r="H298" s="5">
        <v>2.4700000000000002</v>
      </c>
      <c r="I298" t="s">
        <v>58</v>
      </c>
      <c r="J298">
        <v>1.5</v>
      </c>
      <c r="K298">
        <v>1.3</v>
      </c>
      <c r="L298">
        <v>1.2</v>
      </c>
      <c r="M298" s="4">
        <f>IF(E298&lt;&gt;"",IF(F298&lt;&gt;"",(E298/(F298+1))*J298*K298*L298,""),"")</f>
        <v>169.18909090909088</v>
      </c>
      <c r="N298" t="str">
        <f>IF(M298&lt;&gt;"",IF(M298&gt;150,"Tier 1",IF(M298&gt;50,"Tier 2","Tier 3")),"")</f>
        <v>Tier 1</v>
      </c>
      <c r="O298" t="s">
        <v>1172</v>
      </c>
    </row>
    <row r="299" spans="1:16" x14ac:dyDescent="0.25">
      <c r="A299" t="s">
        <v>1037</v>
      </c>
      <c r="B299" t="s">
        <v>33</v>
      </c>
      <c r="C299" t="s">
        <v>1041</v>
      </c>
      <c r="D299" t="s">
        <v>1042</v>
      </c>
      <c r="E299" s="2">
        <v>3460</v>
      </c>
      <c r="F299" s="3">
        <v>32</v>
      </c>
      <c r="G299" s="4">
        <v>0.35</v>
      </c>
      <c r="H299" s="5">
        <v>0.89</v>
      </c>
      <c r="I299" t="s">
        <v>19</v>
      </c>
      <c r="J299">
        <v>1</v>
      </c>
      <c r="K299">
        <v>1</v>
      </c>
      <c r="L299">
        <v>1.2</v>
      </c>
      <c r="M299" s="4">
        <f>IF(E299&lt;&gt;"",IF(F299&lt;&gt;"",(E299/(F299+1))*J299*K299*L299,""),"")</f>
        <v>125.81818181818181</v>
      </c>
      <c r="N299" t="str">
        <f>IF(M299&lt;&gt;"",IF(M299&gt;150,"Tier 1",IF(M299&gt;50,"Tier 2","Tier 3")),"")</f>
        <v>Tier 2</v>
      </c>
      <c r="O299" t="s">
        <v>1048</v>
      </c>
    </row>
    <row r="300" spans="1:16" x14ac:dyDescent="0.25">
      <c r="A300" t="s">
        <v>873</v>
      </c>
      <c r="B300" t="s">
        <v>47</v>
      </c>
      <c r="C300" t="s">
        <v>877</v>
      </c>
      <c r="D300" t="s">
        <v>894</v>
      </c>
      <c r="E300" s="2">
        <v>2640</v>
      </c>
      <c r="F300" s="3">
        <v>35</v>
      </c>
      <c r="G300" s="4">
        <v>0.35</v>
      </c>
      <c r="H300" s="5">
        <v>0.99</v>
      </c>
      <c r="I300" t="s">
        <v>58</v>
      </c>
      <c r="J300">
        <v>1</v>
      </c>
      <c r="K300">
        <v>1.3</v>
      </c>
      <c r="L300">
        <v>1</v>
      </c>
      <c r="M300" s="4">
        <f>IF(E300&lt;&gt;"",IF(F300&lt;&gt;"",(E300/(F300+1))*J300*K300*L300,""),"")</f>
        <v>95.333333333333329</v>
      </c>
      <c r="N300" t="str">
        <f>IF(M300&lt;&gt;"",IF(M300&gt;150,"Tier 1",IF(M300&gt;50,"Tier 2","Tier 3")),"")</f>
        <v>Tier 2</v>
      </c>
      <c r="O300" t="s">
        <v>895</v>
      </c>
    </row>
    <row r="301" spans="1:16" x14ac:dyDescent="0.25">
      <c r="A301" t="s">
        <v>1165</v>
      </c>
      <c r="B301" t="s">
        <v>29</v>
      </c>
      <c r="C301" t="s">
        <v>1173</v>
      </c>
      <c r="D301" t="s">
        <v>1174</v>
      </c>
      <c r="E301" s="2">
        <v>2108</v>
      </c>
      <c r="F301" s="3">
        <v>36</v>
      </c>
      <c r="G301" s="4">
        <v>0.35</v>
      </c>
      <c r="H301" s="5">
        <v>2.39</v>
      </c>
      <c r="I301" t="s">
        <v>19</v>
      </c>
      <c r="J301">
        <v>1.5</v>
      </c>
      <c r="K301">
        <v>1</v>
      </c>
      <c r="L301">
        <v>1</v>
      </c>
      <c r="M301" s="4">
        <f>IF(E301&lt;&gt;"",IF(F301&lt;&gt;"",(E301/(F301+1))*J301*K301*L301,""),"")</f>
        <v>85.459459459459467</v>
      </c>
      <c r="N301" t="str">
        <f>IF(M301&lt;&gt;"",IF(M301&gt;150,"Tier 1",IF(M301&gt;50,"Tier 2","Tier 3")),"")</f>
        <v>Tier 2</v>
      </c>
      <c r="O301" t="s">
        <v>1175</v>
      </c>
    </row>
    <row r="302" spans="1:16" x14ac:dyDescent="0.25">
      <c r="A302" t="s">
        <v>163</v>
      </c>
      <c r="B302" t="s">
        <v>47</v>
      </c>
      <c r="C302" t="s">
        <v>167</v>
      </c>
      <c r="D302" t="s">
        <v>186</v>
      </c>
      <c r="E302" s="2">
        <v>2833</v>
      </c>
      <c r="F302" s="3">
        <v>35</v>
      </c>
      <c r="G302" s="4">
        <v>0.35</v>
      </c>
      <c r="H302" s="5">
        <v>0.91</v>
      </c>
      <c r="I302" t="s">
        <v>19</v>
      </c>
      <c r="J302">
        <v>1</v>
      </c>
      <c r="K302">
        <v>1</v>
      </c>
      <c r="L302">
        <v>1</v>
      </c>
      <c r="M302" s="4">
        <f>IF(E302&lt;&gt;"",IF(F302&lt;&gt;"",(E302/(F302+1))*J302*K302*L302,""),"")</f>
        <v>78.694444444444443</v>
      </c>
      <c r="N302" t="str">
        <f>IF(M302&lt;&gt;"",IF(M302&gt;150,"Tier 1",IF(M302&gt;50,"Tier 2","Tier 3")),"")</f>
        <v>Tier 2</v>
      </c>
      <c r="O302" t="s">
        <v>187</v>
      </c>
    </row>
    <row r="303" spans="1:16" x14ac:dyDescent="0.25">
      <c r="A303" t="s">
        <v>711</v>
      </c>
      <c r="B303" t="s">
        <v>60</v>
      </c>
      <c r="C303" t="s">
        <v>740</v>
      </c>
      <c r="D303" t="s">
        <v>741</v>
      </c>
      <c r="E303" s="2">
        <v>2687</v>
      </c>
      <c r="F303" s="3">
        <v>40</v>
      </c>
      <c r="G303" s="4">
        <v>0.35</v>
      </c>
      <c r="H303" s="5">
        <v>1.61</v>
      </c>
      <c r="I303" t="s">
        <v>19</v>
      </c>
      <c r="J303">
        <v>1.5</v>
      </c>
      <c r="K303">
        <v>1</v>
      </c>
      <c r="L303">
        <v>0.8</v>
      </c>
      <c r="M303" s="4">
        <f>IF(E303&lt;&gt;"",IF(F303&lt;&gt;"",(E303/(F303+1))*J303*K303*L303,""),"")</f>
        <v>78.643902439024387</v>
      </c>
      <c r="N303" t="str">
        <f>IF(M303&lt;&gt;"",IF(M303&gt;150,"Tier 1",IF(M303&gt;50,"Tier 2","Tier 3")),"")</f>
        <v>Tier 2</v>
      </c>
      <c r="O303" t="s">
        <v>742</v>
      </c>
    </row>
    <row r="304" spans="1:16" x14ac:dyDescent="0.25">
      <c r="A304" t="s">
        <v>423</v>
      </c>
      <c r="B304" t="s">
        <v>47</v>
      </c>
      <c r="C304" t="s">
        <v>427</v>
      </c>
      <c r="D304" t="s">
        <v>444</v>
      </c>
      <c r="E304" s="2">
        <v>1284</v>
      </c>
      <c r="F304" s="3">
        <v>30</v>
      </c>
      <c r="G304" s="4">
        <v>0.35</v>
      </c>
      <c r="H304" s="5">
        <v>1.37</v>
      </c>
      <c r="I304" t="s">
        <v>19</v>
      </c>
      <c r="J304">
        <v>1.5</v>
      </c>
      <c r="K304">
        <v>1</v>
      </c>
      <c r="L304">
        <v>1</v>
      </c>
      <c r="M304" s="4">
        <f>IF(E304&lt;&gt;"",IF(F304&lt;&gt;"",(E304/(F304+1))*J304*K304*L304,""),"")</f>
        <v>62.12903225806452</v>
      </c>
      <c r="N304" t="str">
        <f>IF(M304&lt;&gt;"",IF(M304&gt;150,"Tier 1",IF(M304&gt;50,"Tier 2","Tier 3")),"")</f>
        <v>Tier 2</v>
      </c>
      <c r="O304" t="s">
        <v>445</v>
      </c>
    </row>
    <row r="305" spans="1:15" x14ac:dyDescent="0.25">
      <c r="A305" t="s">
        <v>973</v>
      </c>
      <c r="B305" t="s">
        <v>43</v>
      </c>
      <c r="C305" t="s">
        <v>991</v>
      </c>
      <c r="D305" t="s">
        <v>992</v>
      </c>
      <c r="E305" s="2">
        <v>1669</v>
      </c>
      <c r="F305" s="3">
        <v>29</v>
      </c>
      <c r="G305" s="4">
        <v>0.35</v>
      </c>
      <c r="H305" s="5">
        <v>0.73</v>
      </c>
      <c r="I305" t="s">
        <v>19</v>
      </c>
      <c r="J305">
        <v>1</v>
      </c>
      <c r="K305">
        <v>1</v>
      </c>
      <c r="L305">
        <v>1</v>
      </c>
      <c r="M305" s="4">
        <f>IF(E305&lt;&gt;"",IF(F305&lt;&gt;"",(E305/(F305+1))*J305*K305*L305,""),"")</f>
        <v>55.633333333333333</v>
      </c>
      <c r="N305" t="str">
        <f>IF(M305&lt;&gt;"",IF(M305&gt;150,"Tier 1",IF(M305&gt;50,"Tier 2","Tier 3")),"")</f>
        <v>Tier 2</v>
      </c>
      <c r="O305" t="s">
        <v>993</v>
      </c>
    </row>
    <row r="306" spans="1:15" x14ac:dyDescent="0.25">
      <c r="A306" t="s">
        <v>519</v>
      </c>
      <c r="B306" t="s">
        <v>55</v>
      </c>
      <c r="C306" t="s">
        <v>545</v>
      </c>
      <c r="D306" t="s">
        <v>546</v>
      </c>
      <c r="E306" s="2">
        <v>576</v>
      </c>
      <c r="F306" s="3">
        <v>33</v>
      </c>
      <c r="G306" s="4">
        <v>0.35</v>
      </c>
      <c r="H306" s="5">
        <v>0.87</v>
      </c>
      <c r="I306" t="s">
        <v>63</v>
      </c>
      <c r="J306">
        <v>1</v>
      </c>
      <c r="K306">
        <v>0.8</v>
      </c>
      <c r="L306">
        <v>0.8</v>
      </c>
      <c r="M306" s="4">
        <f>IF(E306&lt;&gt;"",IF(F306&lt;&gt;"",(E306/(F306+1))*J306*K306*L306,""),"")</f>
        <v>10.842352941176472</v>
      </c>
      <c r="N306" t="str">
        <f>IF(M306&lt;&gt;"",IF(M306&gt;150,"Tier 1",IF(M306&gt;50,"Tier 2","Tier 3")),"")</f>
        <v>Tier 3</v>
      </c>
      <c r="O306" t="s">
        <v>547</v>
      </c>
    </row>
    <row r="307" spans="1:15" x14ac:dyDescent="0.25">
      <c r="A307" t="s">
        <v>775</v>
      </c>
      <c r="B307" t="s">
        <v>21</v>
      </c>
      <c r="C307" t="s">
        <v>779</v>
      </c>
      <c r="D307" t="s">
        <v>780</v>
      </c>
      <c r="E307" s="2">
        <v>12174</v>
      </c>
      <c r="F307" s="3">
        <v>38</v>
      </c>
      <c r="G307" s="4">
        <v>0.36</v>
      </c>
      <c r="H307" s="5">
        <v>1.1200000000000001</v>
      </c>
      <c r="I307" t="s">
        <v>58</v>
      </c>
      <c r="J307">
        <v>1.5</v>
      </c>
      <c r="K307">
        <v>1.3</v>
      </c>
      <c r="L307">
        <v>1.2</v>
      </c>
      <c r="M307" s="4">
        <f>IF(E307&lt;&gt;"",IF(F307&lt;&gt;"",(E307/(F307+1))*J307*K307*L307,""),"")</f>
        <v>730.43999999999994</v>
      </c>
      <c r="N307" t="str">
        <f>IF(M307&lt;&gt;"",IF(M307&gt;150,"Tier 1",IF(M307&gt;50,"Tier 2","Tier 3")),"")</f>
        <v>Tier 1</v>
      </c>
      <c r="O307" t="s">
        <v>781</v>
      </c>
    </row>
    <row r="308" spans="1:15" x14ac:dyDescent="0.25">
      <c r="A308" t="s">
        <v>905</v>
      </c>
      <c r="B308" t="s">
        <v>39</v>
      </c>
      <c r="C308" t="s">
        <v>923</v>
      </c>
      <c r="D308" t="s">
        <v>924</v>
      </c>
      <c r="E308" s="2">
        <v>5767</v>
      </c>
      <c r="F308" s="3">
        <v>40</v>
      </c>
      <c r="G308" s="4">
        <v>0.36</v>
      </c>
      <c r="H308" s="5">
        <v>1.47</v>
      </c>
      <c r="I308" t="s">
        <v>19</v>
      </c>
      <c r="J308">
        <v>1.5</v>
      </c>
      <c r="K308">
        <v>1</v>
      </c>
      <c r="L308">
        <v>1</v>
      </c>
      <c r="M308" s="4">
        <f>IF(E308&lt;&gt;"",IF(F308&lt;&gt;"",(E308/(F308+1))*J308*K308*L308,""),"")</f>
        <v>210.98780487804879</v>
      </c>
      <c r="N308" t="str">
        <f>IF(M308&lt;&gt;"",IF(M308&gt;150,"Tier 1",IF(M308&gt;50,"Tier 2","Tier 3")),"")</f>
        <v>Tier 1</v>
      </c>
      <c r="O308" t="s">
        <v>925</v>
      </c>
    </row>
    <row r="309" spans="1:15" x14ac:dyDescent="0.25">
      <c r="A309" t="s">
        <v>905</v>
      </c>
      <c r="B309" t="s">
        <v>43</v>
      </c>
      <c r="C309" t="s">
        <v>926</v>
      </c>
      <c r="D309" t="s">
        <v>927</v>
      </c>
      <c r="E309" s="2">
        <v>4619</v>
      </c>
      <c r="F309" s="3">
        <v>38</v>
      </c>
      <c r="G309" s="4">
        <v>0.36</v>
      </c>
      <c r="H309" s="5">
        <v>1.19</v>
      </c>
      <c r="I309" t="s">
        <v>19</v>
      </c>
      <c r="J309">
        <v>1.5</v>
      </c>
      <c r="K309">
        <v>1</v>
      </c>
      <c r="L309">
        <v>1</v>
      </c>
      <c r="M309" s="4">
        <f>IF(E309&lt;&gt;"",IF(F309&lt;&gt;"",(E309/(F309+1))*J309*K309*L309,""),"")</f>
        <v>177.65384615384613</v>
      </c>
      <c r="N309" t="str">
        <f>IF(M309&lt;&gt;"",IF(M309&gt;150,"Tier 1",IF(M309&gt;50,"Tier 2","Tier 3")),"")</f>
        <v>Tier 1</v>
      </c>
      <c r="O309" t="s">
        <v>928</v>
      </c>
    </row>
    <row r="310" spans="1:15" x14ac:dyDescent="0.25">
      <c r="A310" t="s">
        <v>357</v>
      </c>
      <c r="B310" t="s">
        <v>47</v>
      </c>
      <c r="C310" t="s">
        <v>361</v>
      </c>
      <c r="D310" t="s">
        <v>380</v>
      </c>
      <c r="E310" s="2">
        <v>4522</v>
      </c>
      <c r="F310" s="3">
        <v>38</v>
      </c>
      <c r="G310" s="4">
        <v>0.36</v>
      </c>
      <c r="H310" s="5">
        <v>1.26</v>
      </c>
      <c r="I310" t="s">
        <v>19</v>
      </c>
      <c r="J310">
        <v>1.5</v>
      </c>
      <c r="K310">
        <v>1</v>
      </c>
      <c r="L310">
        <v>1</v>
      </c>
      <c r="M310" s="4">
        <f>IF(E310&lt;&gt;"",IF(F310&lt;&gt;"",(E310/(F310+1))*J310*K310*L310,""),"")</f>
        <v>173.92307692307691</v>
      </c>
      <c r="N310" t="str">
        <f>IF(M310&lt;&gt;"",IF(M310&gt;150,"Tier 1",IF(M310&gt;50,"Tier 2","Tier 3")),"")</f>
        <v>Tier 1</v>
      </c>
      <c r="O310" t="s">
        <v>381</v>
      </c>
    </row>
    <row r="311" spans="1:15" x14ac:dyDescent="0.25">
      <c r="A311" t="s">
        <v>1005</v>
      </c>
      <c r="B311" t="s">
        <v>35</v>
      </c>
      <c r="C311" t="s">
        <v>1017</v>
      </c>
      <c r="D311" t="s">
        <v>1018</v>
      </c>
      <c r="E311" s="2">
        <v>3793</v>
      </c>
      <c r="F311" s="3">
        <v>36</v>
      </c>
      <c r="G311" s="4">
        <v>0.36</v>
      </c>
      <c r="H311" s="5">
        <v>1.46</v>
      </c>
      <c r="I311" t="s">
        <v>19</v>
      </c>
      <c r="J311">
        <v>1.5</v>
      </c>
      <c r="K311">
        <v>1</v>
      </c>
      <c r="L311">
        <v>1</v>
      </c>
      <c r="M311" s="4">
        <f>IF(E311&lt;&gt;"",IF(F311&lt;&gt;"",(E311/(F311+1))*J311*K311*L311,""),"")</f>
        <v>153.77027027027026</v>
      </c>
      <c r="N311" t="str">
        <f>IF(M311&lt;&gt;"",IF(M311&gt;150,"Tier 1",IF(M311&gt;50,"Tier 2","Tier 3")),"")</f>
        <v>Tier 1</v>
      </c>
      <c r="O311" t="s">
        <v>1019</v>
      </c>
    </row>
    <row r="312" spans="1:15" x14ac:dyDescent="0.25">
      <c r="A312" t="s">
        <v>15</v>
      </c>
      <c r="B312" t="s">
        <v>39</v>
      </c>
      <c r="C312" t="s">
        <v>40</v>
      </c>
      <c r="D312" t="s">
        <v>41</v>
      </c>
      <c r="E312" s="2">
        <v>5537</v>
      </c>
      <c r="F312" s="3">
        <v>38</v>
      </c>
      <c r="G312" s="4">
        <v>0.36</v>
      </c>
      <c r="H312" s="5">
        <v>0.41</v>
      </c>
      <c r="I312" t="s">
        <v>19</v>
      </c>
      <c r="J312">
        <v>1</v>
      </c>
      <c r="K312">
        <v>1</v>
      </c>
      <c r="L312">
        <v>1</v>
      </c>
      <c r="M312" s="4">
        <f>IF(E312&lt;&gt;"",IF(F312&lt;&gt;"",(E312/(F312+1))*J312*K312*L312,""),"")</f>
        <v>141.97435897435898</v>
      </c>
      <c r="N312" t="str">
        <f>IF(M312&lt;&gt;"",IF(M312&gt;150,"Tier 1",IF(M312&gt;50,"Tier 2","Tier 3")),"")</f>
        <v>Tier 2</v>
      </c>
      <c r="O312" t="s">
        <v>42</v>
      </c>
    </row>
    <row r="313" spans="1:15" x14ac:dyDescent="0.25">
      <c r="A313" t="s">
        <v>1005</v>
      </c>
      <c r="B313" t="s">
        <v>60</v>
      </c>
      <c r="C313" t="s">
        <v>1034</v>
      </c>
      <c r="D313" t="s">
        <v>1035</v>
      </c>
      <c r="E313" s="2">
        <v>3970</v>
      </c>
      <c r="F313" s="3">
        <v>39</v>
      </c>
      <c r="G313" s="4">
        <v>0.36</v>
      </c>
      <c r="H313" s="5">
        <v>1.51</v>
      </c>
      <c r="I313" t="s">
        <v>19</v>
      </c>
      <c r="J313">
        <v>1.5</v>
      </c>
      <c r="K313">
        <v>1</v>
      </c>
      <c r="L313">
        <v>0.8</v>
      </c>
      <c r="M313" s="4">
        <f>IF(E313&lt;&gt;"",IF(F313&lt;&gt;"",(E313/(F313+1))*J313*K313*L313,""),"")</f>
        <v>119.10000000000001</v>
      </c>
      <c r="N313" t="str">
        <f>IF(M313&lt;&gt;"",IF(M313&gt;150,"Tier 1",IF(M313&gt;50,"Tier 2","Tier 3")),"")</f>
        <v>Tier 2</v>
      </c>
      <c r="O313" t="s">
        <v>1036</v>
      </c>
    </row>
    <row r="314" spans="1:15" x14ac:dyDescent="0.25">
      <c r="A314" t="s">
        <v>1005</v>
      </c>
      <c r="B314" t="s">
        <v>43</v>
      </c>
      <c r="C314" t="s">
        <v>1023</v>
      </c>
      <c r="D314" t="s">
        <v>1024</v>
      </c>
      <c r="E314" s="2">
        <v>2597</v>
      </c>
      <c r="F314" s="3">
        <v>35</v>
      </c>
      <c r="G314" s="4">
        <v>0.36</v>
      </c>
      <c r="H314" s="5">
        <v>1.1399999999999999</v>
      </c>
      <c r="I314" t="s">
        <v>19</v>
      </c>
      <c r="J314">
        <v>1.5</v>
      </c>
      <c r="K314">
        <v>1</v>
      </c>
      <c r="L314">
        <v>1</v>
      </c>
      <c r="M314" s="4">
        <f>IF(E314&lt;&gt;"",IF(F314&lt;&gt;"",(E314/(F314+1))*J314*K314*L314,""),"")</f>
        <v>108.20833333333333</v>
      </c>
      <c r="N314" t="str">
        <f>IF(M314&lt;&gt;"",IF(M314&gt;150,"Tier 1",IF(M314&gt;50,"Tier 2","Tier 3")),"")</f>
        <v>Tier 2</v>
      </c>
      <c r="O314" t="s">
        <v>1025</v>
      </c>
    </row>
    <row r="315" spans="1:15" x14ac:dyDescent="0.25">
      <c r="A315" t="s">
        <v>743</v>
      </c>
      <c r="B315" t="s">
        <v>16</v>
      </c>
      <c r="C315" t="s">
        <v>744</v>
      </c>
      <c r="D315" t="s">
        <v>745</v>
      </c>
      <c r="E315" s="2">
        <v>2661</v>
      </c>
      <c r="F315" s="3">
        <v>32</v>
      </c>
      <c r="G315" s="4">
        <v>0.36</v>
      </c>
      <c r="H315" s="5">
        <v>0.74</v>
      </c>
      <c r="I315" t="s">
        <v>19</v>
      </c>
      <c r="J315">
        <v>1</v>
      </c>
      <c r="K315">
        <v>1</v>
      </c>
      <c r="L315">
        <v>1.2</v>
      </c>
      <c r="M315" s="4">
        <f>IF(E315&lt;&gt;"",IF(F315&lt;&gt;"",(E315/(F315+1))*J315*K315*L315,""),"")</f>
        <v>96.763636363636365</v>
      </c>
      <c r="N315" t="str">
        <f>IF(M315&lt;&gt;"",IF(M315&gt;150,"Tier 1",IF(M315&gt;50,"Tier 2","Tier 3")),"")</f>
        <v>Tier 2</v>
      </c>
      <c r="O315" t="s">
        <v>746</v>
      </c>
    </row>
    <row r="316" spans="1:15" x14ac:dyDescent="0.25">
      <c r="A316" t="s">
        <v>551</v>
      </c>
      <c r="B316" t="s">
        <v>35</v>
      </c>
      <c r="C316" t="s">
        <v>563</v>
      </c>
      <c r="D316" t="s">
        <v>564</v>
      </c>
      <c r="E316" s="2">
        <v>2294</v>
      </c>
      <c r="F316" s="3">
        <v>32</v>
      </c>
      <c r="G316" s="4">
        <v>0.36</v>
      </c>
      <c r="H316" s="5">
        <v>1.0900000000000001</v>
      </c>
      <c r="I316" t="s">
        <v>63</v>
      </c>
      <c r="J316">
        <v>1.5</v>
      </c>
      <c r="K316">
        <v>0.8</v>
      </c>
      <c r="L316">
        <v>1</v>
      </c>
      <c r="M316" s="4">
        <f>IF(E316&lt;&gt;"",IF(F316&lt;&gt;"",(E316/(F316+1))*J316*K316*L316,""),"")</f>
        <v>83.418181818181836</v>
      </c>
      <c r="N316" t="str">
        <f>IF(M316&lt;&gt;"",IF(M316&gt;150,"Tier 1",IF(M316&gt;50,"Tier 2","Tier 3")),"")</f>
        <v>Tier 2</v>
      </c>
      <c r="O316" t="s">
        <v>565</v>
      </c>
    </row>
    <row r="317" spans="1:15" x14ac:dyDescent="0.25">
      <c r="A317" t="s">
        <v>229</v>
      </c>
      <c r="B317" t="s">
        <v>47</v>
      </c>
      <c r="C317" t="s">
        <v>233</v>
      </c>
      <c r="D317" t="s">
        <v>250</v>
      </c>
      <c r="E317" s="2">
        <v>2267</v>
      </c>
      <c r="F317" s="3">
        <v>33</v>
      </c>
      <c r="G317" s="4">
        <v>0.36</v>
      </c>
      <c r="H317" s="5">
        <v>1.1000000000000001</v>
      </c>
      <c r="I317" t="s">
        <v>63</v>
      </c>
      <c r="J317">
        <v>1.5</v>
      </c>
      <c r="K317">
        <v>0.8</v>
      </c>
      <c r="L317">
        <v>1</v>
      </c>
      <c r="M317" s="4">
        <f>IF(E317&lt;&gt;"",IF(F317&lt;&gt;"",(E317/(F317+1))*J317*K317*L317,""),"")</f>
        <v>80.011764705882342</v>
      </c>
      <c r="N317" t="str">
        <f>IF(M317&lt;&gt;"",IF(M317&gt;150,"Tier 1",IF(M317&gt;50,"Tier 2","Tier 3")),"")</f>
        <v>Tier 2</v>
      </c>
      <c r="O317" t="s">
        <v>251</v>
      </c>
    </row>
    <row r="318" spans="1:15" x14ac:dyDescent="0.25">
      <c r="A318" t="s">
        <v>1037</v>
      </c>
      <c r="B318" t="s">
        <v>43</v>
      </c>
      <c r="C318" t="s">
        <v>1055</v>
      </c>
      <c r="D318" t="s">
        <v>1056</v>
      </c>
      <c r="E318" s="2">
        <v>1921</v>
      </c>
      <c r="F318" s="3">
        <v>31</v>
      </c>
      <c r="G318" s="4">
        <v>0.36</v>
      </c>
      <c r="H318" s="5">
        <v>0.94</v>
      </c>
      <c r="I318" t="s">
        <v>58</v>
      </c>
      <c r="J318">
        <v>1</v>
      </c>
      <c r="K318">
        <v>1.3</v>
      </c>
      <c r="L318">
        <v>1</v>
      </c>
      <c r="M318" s="4">
        <f>IF(E318&lt;&gt;"",IF(F318&lt;&gt;"",(E318/(F318+1))*J318*K318*L318,""),"")</f>
        <v>78.040625000000006</v>
      </c>
      <c r="N318" t="str">
        <f>IF(M318&lt;&gt;"",IF(M318&gt;150,"Tier 1",IF(M318&gt;50,"Tier 2","Tier 3")),"")</f>
        <v>Tier 2</v>
      </c>
      <c r="O318" t="s">
        <v>1057</v>
      </c>
    </row>
    <row r="319" spans="1:15" x14ac:dyDescent="0.25">
      <c r="A319" t="s">
        <v>519</v>
      </c>
      <c r="B319" t="s">
        <v>60</v>
      </c>
      <c r="C319" t="s">
        <v>548</v>
      </c>
      <c r="D319" t="s">
        <v>549</v>
      </c>
      <c r="E319" s="2">
        <v>1571</v>
      </c>
      <c r="F319" s="3">
        <v>34</v>
      </c>
      <c r="G319" s="4">
        <v>0.36</v>
      </c>
      <c r="H319" s="5">
        <v>1.02</v>
      </c>
      <c r="I319" t="s">
        <v>58</v>
      </c>
      <c r="J319">
        <v>1.5</v>
      </c>
      <c r="K319">
        <v>1.3</v>
      </c>
      <c r="L319">
        <v>0.8</v>
      </c>
      <c r="M319" s="4">
        <f>IF(E319&lt;&gt;"",IF(F319&lt;&gt;"",(E319/(F319+1))*J319*K319*L319,""),"")</f>
        <v>70.021714285714282</v>
      </c>
      <c r="N319" t="str">
        <f>IF(M319&lt;&gt;"",IF(M319&gt;150,"Tier 1",IF(M319&gt;50,"Tier 2","Tier 3")),"")</f>
        <v>Tier 2</v>
      </c>
      <c r="O319" t="s">
        <v>550</v>
      </c>
    </row>
    <row r="320" spans="1:15" x14ac:dyDescent="0.25">
      <c r="A320" t="s">
        <v>1005</v>
      </c>
      <c r="B320" t="s">
        <v>47</v>
      </c>
      <c r="C320" t="s">
        <v>1009</v>
      </c>
      <c r="D320" t="s">
        <v>1026</v>
      </c>
      <c r="E320" s="2">
        <v>2319</v>
      </c>
      <c r="F320" s="3">
        <v>36</v>
      </c>
      <c r="G320" s="4">
        <v>0.36</v>
      </c>
      <c r="H320" s="5">
        <v>0.89</v>
      </c>
      <c r="I320" t="s">
        <v>19</v>
      </c>
      <c r="J320">
        <v>1</v>
      </c>
      <c r="K320">
        <v>1</v>
      </c>
      <c r="L320">
        <v>1</v>
      </c>
      <c r="M320" s="4">
        <f>IF(E320&lt;&gt;"",IF(F320&lt;&gt;"",(E320/(F320+1))*J320*K320*L320,""),"")</f>
        <v>62.675675675675677</v>
      </c>
      <c r="N320" t="str">
        <f>IF(M320&lt;&gt;"",IF(M320&gt;150,"Tier 1",IF(M320&gt;50,"Tier 2","Tier 3")),"")</f>
        <v>Tier 2</v>
      </c>
      <c r="O320" t="s">
        <v>1027</v>
      </c>
    </row>
    <row r="321" spans="1:15" x14ac:dyDescent="0.25">
      <c r="A321" t="s">
        <v>1165</v>
      </c>
      <c r="B321" t="s">
        <v>35</v>
      </c>
      <c r="C321" t="s">
        <v>1177</v>
      </c>
      <c r="D321" t="s">
        <v>1178</v>
      </c>
      <c r="E321" s="2">
        <v>1912</v>
      </c>
      <c r="F321" s="3">
        <v>38</v>
      </c>
      <c r="G321" s="4">
        <v>0.36</v>
      </c>
      <c r="H321" s="5">
        <v>1.37</v>
      </c>
      <c r="I321" t="s">
        <v>63</v>
      </c>
      <c r="J321">
        <v>1.5</v>
      </c>
      <c r="K321">
        <v>0.8</v>
      </c>
      <c r="L321">
        <v>1</v>
      </c>
      <c r="M321" s="4">
        <f>IF(E321&lt;&gt;"",IF(F321&lt;&gt;"",(E321/(F321+1))*J321*K321*L321,""),"")</f>
        <v>58.830769230769242</v>
      </c>
      <c r="N321" t="str">
        <f>IF(M321&lt;&gt;"",IF(M321&gt;150,"Tier 1",IF(M321&gt;50,"Tier 2","Tier 3")),"")</f>
        <v>Tier 2</v>
      </c>
      <c r="O321" t="s">
        <v>1179</v>
      </c>
    </row>
    <row r="322" spans="1:15" x14ac:dyDescent="0.25">
      <c r="A322" t="s">
        <v>1165</v>
      </c>
      <c r="B322" t="s">
        <v>43</v>
      </c>
      <c r="C322" t="s">
        <v>1183</v>
      </c>
      <c r="D322" t="s">
        <v>1184</v>
      </c>
      <c r="E322" s="2">
        <v>1459</v>
      </c>
      <c r="F322" s="3">
        <v>38</v>
      </c>
      <c r="G322" s="4">
        <v>0.36</v>
      </c>
      <c r="H322" s="5">
        <v>1.5</v>
      </c>
      <c r="I322" t="s">
        <v>19</v>
      </c>
      <c r="J322">
        <v>1.5</v>
      </c>
      <c r="K322">
        <v>1</v>
      </c>
      <c r="L322">
        <v>1</v>
      </c>
      <c r="M322" s="4">
        <f>IF(E322&lt;&gt;"",IF(F322&lt;&gt;"",(E322/(F322+1))*J322*K322*L322,""),"")</f>
        <v>56.115384615384613</v>
      </c>
      <c r="N322" t="str">
        <f>IF(M322&lt;&gt;"",IF(M322&gt;150,"Tier 1",IF(M322&gt;50,"Tier 2","Tier 3")),"")</f>
        <v>Tier 2</v>
      </c>
      <c r="O322" t="s">
        <v>1185</v>
      </c>
    </row>
    <row r="323" spans="1:15" x14ac:dyDescent="0.25">
      <c r="A323" t="s">
        <v>1005</v>
      </c>
      <c r="B323" t="s">
        <v>55</v>
      </c>
      <c r="C323" t="s">
        <v>1031</v>
      </c>
      <c r="D323" t="s">
        <v>1032</v>
      </c>
      <c r="E323" s="2">
        <v>1204</v>
      </c>
      <c r="F323" s="3">
        <v>39</v>
      </c>
      <c r="G323" s="4">
        <v>0.36</v>
      </c>
      <c r="H323" s="5">
        <v>1.1599999999999999</v>
      </c>
      <c r="I323" t="s">
        <v>58</v>
      </c>
      <c r="J323">
        <v>1.5</v>
      </c>
      <c r="K323">
        <v>1.3</v>
      </c>
      <c r="L323">
        <v>0.8</v>
      </c>
      <c r="M323" s="4">
        <f>IF(E323&lt;&gt;"",IF(F323&lt;&gt;"",(E323/(F323+1))*J323*K323*L323,""),"")</f>
        <v>46.95600000000001</v>
      </c>
      <c r="N323" t="str">
        <f>IF(M323&lt;&gt;"",IF(M323&gt;150,"Tier 1",IF(M323&gt;50,"Tier 2","Tier 3")),"")</f>
        <v>Tier 3</v>
      </c>
      <c r="O323" t="s">
        <v>1033</v>
      </c>
    </row>
    <row r="324" spans="1:15" x14ac:dyDescent="0.25">
      <c r="A324" t="s">
        <v>647</v>
      </c>
      <c r="B324" t="s">
        <v>33</v>
      </c>
      <c r="C324" t="s">
        <v>651</v>
      </c>
      <c r="D324" t="s">
        <v>652</v>
      </c>
      <c r="E324" s="2">
        <v>6711</v>
      </c>
      <c r="F324" s="3">
        <v>37</v>
      </c>
      <c r="G324" s="4">
        <v>0.37</v>
      </c>
      <c r="H324" s="5">
        <v>1.36</v>
      </c>
      <c r="I324" t="s">
        <v>58</v>
      </c>
      <c r="J324">
        <v>1.5</v>
      </c>
      <c r="K324">
        <v>1.3</v>
      </c>
      <c r="L324">
        <v>1.2</v>
      </c>
      <c r="M324" s="4">
        <f>IF(E324&lt;&gt;"",IF(F324&lt;&gt;"",(E324/(F324+1))*J324*K324*L324,""),"")</f>
        <v>413.25631578947366</v>
      </c>
      <c r="N324" t="str">
        <f>IF(M324&lt;&gt;"",IF(M324&gt;150,"Tier 1",IF(M324&gt;50,"Tier 2","Tier 3")),"")</f>
        <v>Tier 1</v>
      </c>
      <c r="O324" t="s">
        <v>658</v>
      </c>
    </row>
    <row r="325" spans="1:15" x14ac:dyDescent="0.25">
      <c r="A325" t="s">
        <v>1165</v>
      </c>
      <c r="B325" t="s">
        <v>21</v>
      </c>
      <c r="C325" t="s">
        <v>1169</v>
      </c>
      <c r="D325" t="s">
        <v>1170</v>
      </c>
      <c r="E325" s="2">
        <v>4883</v>
      </c>
      <c r="F325" s="3">
        <v>31</v>
      </c>
      <c r="G325" s="4">
        <v>0.37</v>
      </c>
      <c r="H325" s="5">
        <v>1.81</v>
      </c>
      <c r="I325" t="s">
        <v>19</v>
      </c>
      <c r="J325">
        <v>1.5</v>
      </c>
      <c r="K325">
        <v>1</v>
      </c>
      <c r="L325">
        <v>1.2</v>
      </c>
      <c r="M325" s="4">
        <f>IF(E325&lt;&gt;"",IF(F325&lt;&gt;"",(E325/(F325+1))*J325*K325*L325,""),"")</f>
        <v>274.66874999999999</v>
      </c>
      <c r="N325" t="str">
        <f>IF(M325&lt;&gt;"",IF(M325&gt;150,"Tier 1",IF(M325&gt;50,"Tier 2","Tier 3")),"")</f>
        <v>Tier 1</v>
      </c>
      <c r="O325" t="s">
        <v>1171</v>
      </c>
    </row>
    <row r="326" spans="1:15" x14ac:dyDescent="0.25">
      <c r="A326" t="s">
        <v>15</v>
      </c>
      <c r="B326" t="s">
        <v>29</v>
      </c>
      <c r="C326" t="s">
        <v>30</v>
      </c>
      <c r="D326" t="s">
        <v>31</v>
      </c>
      <c r="E326" s="2">
        <v>8624</v>
      </c>
      <c r="F326" s="3">
        <v>36</v>
      </c>
      <c r="G326" s="4">
        <v>0.37</v>
      </c>
      <c r="H326" s="5">
        <v>0.39</v>
      </c>
      <c r="I326" t="s">
        <v>19</v>
      </c>
      <c r="J326">
        <v>1</v>
      </c>
      <c r="K326">
        <v>1</v>
      </c>
      <c r="L326">
        <v>1</v>
      </c>
      <c r="M326" s="4">
        <f>IF(E326&lt;&gt;"",IF(F326&lt;&gt;"",(E326/(F326+1))*J326*K326*L326,""),"")</f>
        <v>233.08108108108109</v>
      </c>
      <c r="N326" t="str">
        <f>IF(M326&lt;&gt;"",IF(M326&gt;150,"Tier 1",IF(M326&gt;50,"Tier 2","Tier 3")),"")</f>
        <v>Tier 1</v>
      </c>
      <c r="O326" t="s">
        <v>32</v>
      </c>
    </row>
    <row r="327" spans="1:15" x14ac:dyDescent="0.25">
      <c r="A327" t="s">
        <v>1005</v>
      </c>
      <c r="B327" t="s">
        <v>21</v>
      </c>
      <c r="C327" t="s">
        <v>1009</v>
      </c>
      <c r="D327" t="s">
        <v>1010</v>
      </c>
      <c r="E327" s="2">
        <v>7469</v>
      </c>
      <c r="F327" s="3">
        <v>39</v>
      </c>
      <c r="G327" s="4">
        <v>0.37</v>
      </c>
      <c r="H327" s="5">
        <v>0.89</v>
      </c>
      <c r="I327" t="s">
        <v>19</v>
      </c>
      <c r="J327">
        <v>1</v>
      </c>
      <c r="K327">
        <v>1</v>
      </c>
      <c r="L327">
        <v>1.2</v>
      </c>
      <c r="M327" s="4">
        <f>IF(E327&lt;&gt;"",IF(F327&lt;&gt;"",(E327/(F327+1))*J327*K327*L327,""),"")</f>
        <v>224.07</v>
      </c>
      <c r="N327" t="str">
        <f>IF(M327&lt;&gt;"",IF(M327&gt;150,"Tier 1",IF(M327&gt;50,"Tier 2","Tier 3")),"")</f>
        <v>Tier 1</v>
      </c>
      <c r="O327" t="s">
        <v>1011</v>
      </c>
    </row>
    <row r="328" spans="1:15" x14ac:dyDescent="0.25">
      <c r="A328" t="s">
        <v>1005</v>
      </c>
      <c r="B328" t="s">
        <v>29</v>
      </c>
      <c r="C328" t="s">
        <v>1013</v>
      </c>
      <c r="D328" t="s">
        <v>1014</v>
      </c>
      <c r="E328" s="2">
        <v>3573</v>
      </c>
      <c r="F328" s="3">
        <v>32</v>
      </c>
      <c r="G328" s="4">
        <v>0.37</v>
      </c>
      <c r="H328" s="5">
        <v>1.43</v>
      </c>
      <c r="I328" t="s">
        <v>58</v>
      </c>
      <c r="J328">
        <v>1.5</v>
      </c>
      <c r="K328">
        <v>1.3</v>
      </c>
      <c r="L328">
        <v>1</v>
      </c>
      <c r="M328" s="4">
        <f>IF(E328&lt;&gt;"",IF(F328&lt;&gt;"",(E328/(F328+1))*J328*K328*L328,""),"")</f>
        <v>211.13181818181818</v>
      </c>
      <c r="N328" t="str">
        <f>IF(M328&lt;&gt;"",IF(M328&gt;150,"Tier 1",IF(M328&gt;50,"Tier 2","Tier 3")),"")</f>
        <v>Tier 1</v>
      </c>
      <c r="O328" t="s">
        <v>1015</v>
      </c>
    </row>
    <row r="329" spans="1:15" x14ac:dyDescent="0.25">
      <c r="A329" t="s">
        <v>973</v>
      </c>
      <c r="B329" t="s">
        <v>25</v>
      </c>
      <c r="C329" t="s">
        <v>974</v>
      </c>
      <c r="D329" t="s">
        <v>975</v>
      </c>
      <c r="E329" s="2">
        <v>3244</v>
      </c>
      <c r="F329" s="3">
        <v>36</v>
      </c>
      <c r="G329" s="4">
        <v>0.37</v>
      </c>
      <c r="H329" s="5">
        <v>1.07</v>
      </c>
      <c r="I329" t="s">
        <v>58</v>
      </c>
      <c r="J329">
        <v>1.5</v>
      </c>
      <c r="K329">
        <v>1.3</v>
      </c>
      <c r="L329">
        <v>1.2</v>
      </c>
      <c r="M329" s="4">
        <f>IF(E329&lt;&gt;"",IF(F329&lt;&gt;"",(E329/(F329+1))*J329*K329*L329,""),"")</f>
        <v>205.16108108108111</v>
      </c>
      <c r="N329" t="str">
        <f>IF(M329&lt;&gt;"",IF(M329&gt;150,"Tier 1",IF(M329&gt;50,"Tier 2","Tier 3")),"")</f>
        <v>Tier 1</v>
      </c>
      <c r="O329" t="s">
        <v>980</v>
      </c>
    </row>
    <row r="330" spans="1:15" x14ac:dyDescent="0.25">
      <c r="A330" t="s">
        <v>1069</v>
      </c>
      <c r="B330" t="s">
        <v>39</v>
      </c>
      <c r="C330" t="s">
        <v>1084</v>
      </c>
      <c r="D330" t="s">
        <v>1085</v>
      </c>
      <c r="E330" s="2">
        <v>4350</v>
      </c>
      <c r="F330" s="3">
        <v>41</v>
      </c>
      <c r="G330" s="4">
        <v>0.37</v>
      </c>
      <c r="H330" s="5">
        <v>0.99</v>
      </c>
      <c r="I330" t="s">
        <v>58</v>
      </c>
      <c r="J330">
        <v>1</v>
      </c>
      <c r="K330">
        <v>1.3</v>
      </c>
      <c r="L330">
        <v>1</v>
      </c>
      <c r="M330" s="4">
        <f>IF(E330&lt;&gt;"",IF(F330&lt;&gt;"",(E330/(F330+1))*J330*K330*L330,""),"")</f>
        <v>134.64285714285714</v>
      </c>
      <c r="N330" t="str">
        <f>IF(M330&lt;&gt;"",IF(M330&gt;150,"Tier 1",IF(M330&gt;50,"Tier 2","Tier 3")),"")</f>
        <v>Tier 2</v>
      </c>
      <c r="O330" t="s">
        <v>1086</v>
      </c>
    </row>
    <row r="331" spans="1:15" x14ac:dyDescent="0.25">
      <c r="A331" t="s">
        <v>163</v>
      </c>
      <c r="B331" t="s">
        <v>60</v>
      </c>
      <c r="C331" t="s">
        <v>194</v>
      </c>
      <c r="D331" t="s">
        <v>195</v>
      </c>
      <c r="E331" s="2">
        <v>5461</v>
      </c>
      <c r="F331" s="3">
        <v>40</v>
      </c>
      <c r="G331" s="4">
        <v>0.37</v>
      </c>
      <c r="H331" s="5">
        <v>1.33</v>
      </c>
      <c r="I331" t="s">
        <v>63</v>
      </c>
      <c r="J331">
        <v>1.5</v>
      </c>
      <c r="K331">
        <v>0.8</v>
      </c>
      <c r="L331">
        <v>0.8</v>
      </c>
      <c r="M331" s="4">
        <f>IF(E331&lt;&gt;"",IF(F331&lt;&gt;"",(E331/(F331+1))*J331*K331*L331,""),"")</f>
        <v>127.86731707317074</v>
      </c>
      <c r="N331" t="str">
        <f>IF(M331&lt;&gt;"",IF(M331&gt;150,"Tier 1",IF(M331&gt;50,"Tier 2","Tier 3")),"")</f>
        <v>Tier 2</v>
      </c>
      <c r="O331" t="s">
        <v>196</v>
      </c>
    </row>
    <row r="332" spans="1:15" x14ac:dyDescent="0.25">
      <c r="A332" t="s">
        <v>229</v>
      </c>
      <c r="B332" t="s">
        <v>60</v>
      </c>
      <c r="C332" t="s">
        <v>258</v>
      </c>
      <c r="D332" t="s">
        <v>259</v>
      </c>
      <c r="E332" s="2">
        <v>3549</v>
      </c>
      <c r="F332" s="3">
        <v>37</v>
      </c>
      <c r="G332" s="4">
        <v>0.37</v>
      </c>
      <c r="H332" s="5">
        <v>1.83</v>
      </c>
      <c r="I332" t="s">
        <v>19</v>
      </c>
      <c r="J332">
        <v>1.5</v>
      </c>
      <c r="K332">
        <v>1</v>
      </c>
      <c r="L332">
        <v>0.8</v>
      </c>
      <c r="M332" s="4">
        <f>IF(E332&lt;&gt;"",IF(F332&lt;&gt;"",(E332/(F332+1))*J332*K332*L332,""),"")</f>
        <v>112.07368421052632</v>
      </c>
      <c r="N332" t="str">
        <f>IF(M332&lt;&gt;"",IF(M332&gt;150,"Tier 1",IF(M332&gt;50,"Tier 2","Tier 3")),"")</f>
        <v>Tier 2</v>
      </c>
      <c r="O332" t="s">
        <v>260</v>
      </c>
    </row>
    <row r="333" spans="1:15" x14ac:dyDescent="0.25">
      <c r="A333" t="s">
        <v>455</v>
      </c>
      <c r="B333" t="s">
        <v>47</v>
      </c>
      <c r="C333" t="s">
        <v>459</v>
      </c>
      <c r="D333" t="s">
        <v>476</v>
      </c>
      <c r="E333" s="2">
        <v>3439</v>
      </c>
      <c r="F333" s="3">
        <v>32</v>
      </c>
      <c r="G333" s="4">
        <v>0.37</v>
      </c>
      <c r="H333" s="5">
        <v>0.34</v>
      </c>
      <c r="I333" t="s">
        <v>19</v>
      </c>
      <c r="J333">
        <v>1</v>
      </c>
      <c r="K333">
        <v>1</v>
      </c>
      <c r="L333">
        <v>1</v>
      </c>
      <c r="M333" s="4">
        <f>IF(E333&lt;&gt;"",IF(F333&lt;&gt;"",(E333/(F333+1))*J333*K333*L333,""),"")</f>
        <v>104.21212121212122</v>
      </c>
      <c r="N333" t="str">
        <f>IF(M333&lt;&gt;"",IF(M333&gt;150,"Tier 1",IF(M333&gt;50,"Tier 2","Tier 3")),"")</f>
        <v>Tier 2</v>
      </c>
      <c r="O333" t="s">
        <v>477</v>
      </c>
    </row>
    <row r="334" spans="1:15" x14ac:dyDescent="0.25">
      <c r="A334" t="s">
        <v>1005</v>
      </c>
      <c r="B334" t="s">
        <v>51</v>
      </c>
      <c r="C334" t="s">
        <v>1028</v>
      </c>
      <c r="D334" t="s">
        <v>1029</v>
      </c>
      <c r="E334" s="2">
        <v>2564</v>
      </c>
      <c r="F334" s="3">
        <v>37</v>
      </c>
      <c r="G334" s="4">
        <v>0.37</v>
      </c>
      <c r="H334" s="5">
        <v>0.97</v>
      </c>
      <c r="I334" t="s">
        <v>58</v>
      </c>
      <c r="J334">
        <v>1</v>
      </c>
      <c r="K334">
        <v>1.3</v>
      </c>
      <c r="L334">
        <v>0.8</v>
      </c>
      <c r="M334" s="4">
        <f>IF(E334&lt;&gt;"",IF(F334&lt;&gt;"",(E334/(F334+1))*J334*K334*L334,""),"")</f>
        <v>70.172631578947374</v>
      </c>
      <c r="N334" t="str">
        <f>IF(M334&lt;&gt;"",IF(M334&gt;150,"Tier 1",IF(M334&gt;50,"Tier 2","Tier 3")),"")</f>
        <v>Tier 2</v>
      </c>
      <c r="O334" t="s">
        <v>1030</v>
      </c>
    </row>
    <row r="335" spans="1:15" x14ac:dyDescent="0.25">
      <c r="A335" t="s">
        <v>1069</v>
      </c>
      <c r="B335" t="s">
        <v>55</v>
      </c>
      <c r="C335" t="s">
        <v>1095</v>
      </c>
      <c r="D335" t="s">
        <v>1096</v>
      </c>
      <c r="E335" s="2">
        <v>1838</v>
      </c>
      <c r="F335" s="3">
        <v>37</v>
      </c>
      <c r="G335" s="4">
        <v>0.37</v>
      </c>
      <c r="H335" s="5">
        <v>1.06</v>
      </c>
      <c r="I335" t="s">
        <v>63</v>
      </c>
      <c r="J335">
        <v>1.5</v>
      </c>
      <c r="K335">
        <v>0.8</v>
      </c>
      <c r="L335">
        <v>0.8</v>
      </c>
      <c r="M335" s="4">
        <f>IF(E335&lt;&gt;"",IF(F335&lt;&gt;"",(E335/(F335+1))*J335*K335*L335,""),"")</f>
        <v>46.433684210526323</v>
      </c>
      <c r="N335" t="str">
        <f>IF(M335&lt;&gt;"",IF(M335&gt;150,"Tier 1",IF(M335&gt;50,"Tier 2","Tier 3")),"")</f>
        <v>Tier 3</v>
      </c>
      <c r="O335" t="s">
        <v>1097</v>
      </c>
    </row>
    <row r="336" spans="1:15" x14ac:dyDescent="0.25">
      <c r="A336" t="s">
        <v>743</v>
      </c>
      <c r="B336" t="s">
        <v>47</v>
      </c>
      <c r="C336" t="s">
        <v>747</v>
      </c>
      <c r="D336" t="s">
        <v>764</v>
      </c>
      <c r="E336" s="2">
        <v>914</v>
      </c>
      <c r="F336" s="3">
        <v>34</v>
      </c>
      <c r="G336" s="4">
        <v>0.37</v>
      </c>
      <c r="H336" s="5">
        <v>0.62</v>
      </c>
      <c r="I336" t="s">
        <v>63</v>
      </c>
      <c r="J336">
        <v>1</v>
      </c>
      <c r="K336">
        <v>0.8</v>
      </c>
      <c r="L336">
        <v>1</v>
      </c>
      <c r="M336" s="4">
        <f>IF(E336&lt;&gt;"",IF(F336&lt;&gt;"",(E336/(F336+1))*J336*K336*L336,""),"")</f>
        <v>20.891428571428573</v>
      </c>
      <c r="N336" t="str">
        <f>IF(M336&lt;&gt;"",IF(M336&gt;150,"Tier 1",IF(M336&gt;50,"Tier 2","Tier 3")),"")</f>
        <v>Tier 3</v>
      </c>
      <c r="O336" t="s">
        <v>765</v>
      </c>
    </row>
    <row r="337" spans="1:17" x14ac:dyDescent="0.25">
      <c r="A337" t="s">
        <v>839</v>
      </c>
      <c r="B337" t="s">
        <v>21</v>
      </c>
      <c r="C337" t="s">
        <v>843</v>
      </c>
      <c r="D337" t="s">
        <v>844</v>
      </c>
      <c r="E337" s="2">
        <v>22279</v>
      </c>
      <c r="F337" s="3">
        <v>35</v>
      </c>
      <c r="G337" s="4">
        <v>0.38</v>
      </c>
      <c r="H337" s="5">
        <v>0.3</v>
      </c>
      <c r="I337" t="s">
        <v>58</v>
      </c>
      <c r="J337">
        <v>1</v>
      </c>
      <c r="K337">
        <v>1.3</v>
      </c>
      <c r="L337">
        <v>1.2</v>
      </c>
      <c r="M337" s="4">
        <f>IF(E337&lt;&gt;"",IF(F337&lt;&gt;"",(E337/(F337+1))*J337*K337*L337,""),"")</f>
        <v>965.42333333333318</v>
      </c>
      <c r="N337" t="str">
        <f>IF(M337&lt;&gt;"",IF(M337&gt;150,"Tier 1",IF(M337&gt;50,"Tier 2","Tier 3")),"")</f>
        <v>Tier 1</v>
      </c>
      <c r="O337" t="s">
        <v>845</v>
      </c>
      <c r="P337" s="6"/>
    </row>
    <row r="338" spans="1:17" x14ac:dyDescent="0.25">
      <c r="A338" t="s">
        <v>905</v>
      </c>
      <c r="B338" t="s">
        <v>25</v>
      </c>
      <c r="C338" t="s">
        <v>912</v>
      </c>
      <c r="D338" t="s">
        <v>913</v>
      </c>
      <c r="E338" s="2">
        <v>10050</v>
      </c>
      <c r="F338" s="3">
        <v>32</v>
      </c>
      <c r="G338" s="4">
        <v>0.38</v>
      </c>
      <c r="H338" s="5">
        <v>0.9</v>
      </c>
      <c r="I338" t="s">
        <v>58</v>
      </c>
      <c r="J338">
        <v>1</v>
      </c>
      <c r="K338">
        <v>1.3</v>
      </c>
      <c r="L338">
        <v>1.2</v>
      </c>
      <c r="M338" s="4">
        <f>IF(E338&lt;&gt;"",IF(F338&lt;&gt;"",(E338/(F338+1))*J338*K338*L338,""),"")</f>
        <v>475.09090909090912</v>
      </c>
      <c r="N338" t="str">
        <f>IF(M338&lt;&gt;"",IF(M338&gt;150,"Tier 1",IF(M338&gt;50,"Tier 2","Tier 3")),"")</f>
        <v>Tier 1</v>
      </c>
      <c r="O338" t="s">
        <v>914</v>
      </c>
    </row>
    <row r="339" spans="1:17" x14ac:dyDescent="0.25">
      <c r="A339" t="s">
        <v>873</v>
      </c>
      <c r="B339" t="s">
        <v>21</v>
      </c>
      <c r="C339" t="s">
        <v>877</v>
      </c>
      <c r="D339" t="s">
        <v>878</v>
      </c>
      <c r="E339" s="2">
        <v>8935</v>
      </c>
      <c r="F339" s="3">
        <v>35</v>
      </c>
      <c r="G339" s="4">
        <v>0.38</v>
      </c>
      <c r="H339" s="5">
        <v>1.0900000000000001</v>
      </c>
      <c r="I339" t="s">
        <v>19</v>
      </c>
      <c r="J339">
        <v>1.5</v>
      </c>
      <c r="K339">
        <v>1</v>
      </c>
      <c r="L339">
        <v>1.2</v>
      </c>
      <c r="M339" s="4">
        <f>IF(E339&lt;&gt;"",IF(F339&lt;&gt;"",(E339/(F339+1))*J339*K339*L339,""),"")</f>
        <v>446.75</v>
      </c>
      <c r="N339" t="str">
        <f>IF(M339&lt;&gt;"",IF(M339&gt;150,"Tier 1",IF(M339&gt;50,"Tier 2","Tier 3")),"")</f>
        <v>Tier 1</v>
      </c>
      <c r="O339" t="s">
        <v>879</v>
      </c>
    </row>
    <row r="340" spans="1:17" x14ac:dyDescent="0.25">
      <c r="A340" t="s">
        <v>129</v>
      </c>
      <c r="B340" t="s">
        <v>39</v>
      </c>
      <c r="C340" t="s">
        <v>146</v>
      </c>
      <c r="D340" t="s">
        <v>147</v>
      </c>
      <c r="E340" s="2">
        <v>9343</v>
      </c>
      <c r="F340" s="3">
        <v>39</v>
      </c>
      <c r="G340" s="4">
        <v>0.38</v>
      </c>
      <c r="H340" s="5">
        <v>1.68</v>
      </c>
      <c r="I340" t="s">
        <v>19</v>
      </c>
      <c r="J340">
        <v>1.5</v>
      </c>
      <c r="K340">
        <v>1</v>
      </c>
      <c r="L340">
        <v>1</v>
      </c>
      <c r="M340" s="4">
        <f>IF(E340&lt;&gt;"",IF(F340&lt;&gt;"",(E340/(F340+1))*J340*K340*L340,""),"")</f>
        <v>350.36249999999995</v>
      </c>
      <c r="N340" t="str">
        <f>IF(M340&lt;&gt;"",IF(M340&gt;150,"Tier 1",IF(M340&gt;50,"Tier 2","Tier 3")),"")</f>
        <v>Tier 1</v>
      </c>
      <c r="O340" t="s">
        <v>148</v>
      </c>
      <c r="P340" t="s">
        <v>1197</v>
      </c>
      <c r="Q340" t="s">
        <v>1197</v>
      </c>
    </row>
    <row r="341" spans="1:17" x14ac:dyDescent="0.25">
      <c r="A341" t="s">
        <v>647</v>
      </c>
      <c r="B341" t="s">
        <v>16</v>
      </c>
      <c r="C341" t="s">
        <v>648</v>
      </c>
      <c r="D341" t="s">
        <v>649</v>
      </c>
      <c r="E341" s="2">
        <v>8180</v>
      </c>
      <c r="F341" s="3">
        <v>38</v>
      </c>
      <c r="G341" s="4">
        <v>0.38</v>
      </c>
      <c r="H341" s="5">
        <v>1.36</v>
      </c>
      <c r="I341" t="s">
        <v>63</v>
      </c>
      <c r="J341">
        <v>1.5</v>
      </c>
      <c r="K341">
        <v>0.8</v>
      </c>
      <c r="L341">
        <v>1.2</v>
      </c>
      <c r="M341" s="4">
        <f>IF(E341&lt;&gt;"",IF(F341&lt;&gt;"",(E341/(F341+1))*J341*K341*L341,""),"")</f>
        <v>302.03076923076929</v>
      </c>
      <c r="N341" t="str">
        <f>IF(M341&lt;&gt;"",IF(M341&gt;150,"Tier 1",IF(M341&gt;50,"Tier 2","Tier 3")),"")</f>
        <v>Tier 1</v>
      </c>
      <c r="O341" t="s">
        <v>650</v>
      </c>
    </row>
    <row r="342" spans="1:17" x14ac:dyDescent="0.25">
      <c r="A342" t="s">
        <v>163</v>
      </c>
      <c r="B342" t="s">
        <v>25</v>
      </c>
      <c r="C342" t="s">
        <v>164</v>
      </c>
      <c r="D342" t="s">
        <v>170</v>
      </c>
      <c r="E342" s="2">
        <v>8138</v>
      </c>
      <c r="F342" s="3">
        <v>33</v>
      </c>
      <c r="G342" s="4">
        <v>0.38</v>
      </c>
      <c r="H342" s="5">
        <v>0.85</v>
      </c>
      <c r="I342" t="s">
        <v>19</v>
      </c>
      <c r="J342">
        <v>1</v>
      </c>
      <c r="K342">
        <v>1</v>
      </c>
      <c r="L342">
        <v>1.2</v>
      </c>
      <c r="M342" s="4">
        <f>IF(E342&lt;&gt;"",IF(F342&lt;&gt;"",(E342/(F342+1))*J342*K342*L342,""),"")</f>
        <v>287.22352941176467</v>
      </c>
      <c r="N342" t="str">
        <f>IF(M342&lt;&gt;"",IF(M342&gt;150,"Tier 1",IF(M342&gt;50,"Tier 2","Tier 3")),"")</f>
        <v>Tier 1</v>
      </c>
      <c r="O342" t="s">
        <v>171</v>
      </c>
    </row>
    <row r="343" spans="1:17" x14ac:dyDescent="0.25">
      <c r="A343" t="s">
        <v>129</v>
      </c>
      <c r="B343" t="s">
        <v>51</v>
      </c>
      <c r="C343" t="s">
        <v>154</v>
      </c>
      <c r="D343" t="s">
        <v>155</v>
      </c>
      <c r="E343" s="2">
        <v>8069</v>
      </c>
      <c r="F343" s="3">
        <v>40</v>
      </c>
      <c r="G343" s="4">
        <v>0.38</v>
      </c>
      <c r="H343" s="5">
        <v>1.79</v>
      </c>
      <c r="I343" t="s">
        <v>19</v>
      </c>
      <c r="J343">
        <v>1.5</v>
      </c>
      <c r="K343">
        <v>1</v>
      </c>
      <c r="L343">
        <v>0.8</v>
      </c>
      <c r="M343" s="4">
        <f>IF(E343&lt;&gt;"",IF(F343&lt;&gt;"",(E343/(F343+1))*J343*K343*L343,""),"")</f>
        <v>236.16585365853663</v>
      </c>
      <c r="N343" t="str">
        <f>IF(M343&lt;&gt;"",IF(M343&gt;150,"Tier 1",IF(M343&gt;50,"Tier 2","Tier 3")),"")</f>
        <v>Tier 1</v>
      </c>
      <c r="O343" t="s">
        <v>156</v>
      </c>
    </row>
    <row r="344" spans="1:17" x14ac:dyDescent="0.25">
      <c r="A344" t="s">
        <v>711</v>
      </c>
      <c r="B344" t="s">
        <v>25</v>
      </c>
      <c r="C344" t="s">
        <v>712</v>
      </c>
      <c r="D344" t="s">
        <v>713</v>
      </c>
      <c r="E344" s="2">
        <v>4738</v>
      </c>
      <c r="F344" s="3">
        <v>44</v>
      </c>
      <c r="G344" s="4">
        <v>0.38</v>
      </c>
      <c r="H344" s="5">
        <v>1.17</v>
      </c>
      <c r="I344" t="s">
        <v>19</v>
      </c>
      <c r="J344">
        <v>1.5</v>
      </c>
      <c r="K344">
        <v>1</v>
      </c>
      <c r="L344">
        <v>1.2</v>
      </c>
      <c r="M344" s="4">
        <f>IF(E344&lt;&gt;"",IF(F344&lt;&gt;"",(E344/(F344+1))*J344*K344*L344,""),"")</f>
        <v>189.52</v>
      </c>
      <c r="N344" t="str">
        <f>IF(M344&lt;&gt;"",IF(M344&gt;150,"Tier 1",IF(M344&gt;50,"Tier 2","Tier 3")),"")</f>
        <v>Tier 1</v>
      </c>
      <c r="O344" t="s">
        <v>718</v>
      </c>
    </row>
    <row r="345" spans="1:17" x14ac:dyDescent="0.25">
      <c r="A345" t="s">
        <v>905</v>
      </c>
      <c r="B345" t="s">
        <v>60</v>
      </c>
      <c r="C345" t="s">
        <v>938</v>
      </c>
      <c r="D345" t="s">
        <v>939</v>
      </c>
      <c r="E345" s="2">
        <v>7792</v>
      </c>
      <c r="F345" s="3">
        <v>40</v>
      </c>
      <c r="G345" s="4">
        <v>0.38</v>
      </c>
      <c r="H345" s="5">
        <v>0.85</v>
      </c>
      <c r="I345" t="s">
        <v>19</v>
      </c>
      <c r="J345">
        <v>1</v>
      </c>
      <c r="K345">
        <v>1</v>
      </c>
      <c r="L345">
        <v>0.8</v>
      </c>
      <c r="M345" s="4">
        <f>IF(E345&lt;&gt;"",IF(F345&lt;&gt;"",(E345/(F345+1))*J345*K345*L345,""),"")</f>
        <v>152.03902439024392</v>
      </c>
      <c r="N345" t="str">
        <f>IF(M345&lt;&gt;"",IF(M345&gt;150,"Tier 1",IF(M345&gt;50,"Tier 2","Tier 3")),"")</f>
        <v>Tier 1</v>
      </c>
      <c r="O345" t="s">
        <v>940</v>
      </c>
    </row>
    <row r="346" spans="1:17" x14ac:dyDescent="0.25">
      <c r="A346" t="s">
        <v>679</v>
      </c>
      <c r="B346" t="s">
        <v>29</v>
      </c>
      <c r="C346" t="s">
        <v>687</v>
      </c>
      <c r="D346" t="s">
        <v>688</v>
      </c>
      <c r="E346" s="2">
        <v>1572</v>
      </c>
      <c r="F346" s="3">
        <v>32</v>
      </c>
      <c r="G346" s="4">
        <v>0.38</v>
      </c>
      <c r="H346" s="5">
        <v>1.36</v>
      </c>
      <c r="I346" t="s">
        <v>58</v>
      </c>
      <c r="J346">
        <v>1.5</v>
      </c>
      <c r="K346">
        <v>1.3</v>
      </c>
      <c r="L346">
        <v>1</v>
      </c>
      <c r="M346" s="4">
        <f>IF(E346&lt;&gt;"",IF(F346&lt;&gt;"",(E346/(F346+1))*J346*K346*L346,""),"")</f>
        <v>92.890909090909091</v>
      </c>
      <c r="N346" t="str">
        <f>IF(M346&lt;&gt;"",IF(M346&gt;150,"Tier 1",IF(M346&gt;50,"Tier 2","Tier 3")),"")</f>
        <v>Tier 2</v>
      </c>
      <c r="O346" t="s">
        <v>689</v>
      </c>
    </row>
    <row r="347" spans="1:17" x14ac:dyDescent="0.25">
      <c r="A347" t="s">
        <v>775</v>
      </c>
      <c r="B347" t="s">
        <v>51</v>
      </c>
      <c r="C347" t="s">
        <v>798</v>
      </c>
      <c r="D347" t="s">
        <v>799</v>
      </c>
      <c r="E347" s="2">
        <v>3839</v>
      </c>
      <c r="F347" s="3">
        <v>38</v>
      </c>
      <c r="G347" s="4">
        <v>0.38</v>
      </c>
      <c r="H347" s="5">
        <v>0.86</v>
      </c>
      <c r="I347" t="s">
        <v>19</v>
      </c>
      <c r="J347">
        <v>1</v>
      </c>
      <c r="K347">
        <v>1</v>
      </c>
      <c r="L347">
        <v>0.8</v>
      </c>
      <c r="M347" s="4">
        <f>IF(E347&lt;&gt;"",IF(F347&lt;&gt;"",(E347/(F347+1))*J347*K347*L347,""),"")</f>
        <v>78.748717948717953</v>
      </c>
      <c r="N347" t="str">
        <f>IF(M347&lt;&gt;"",IF(M347&gt;150,"Tier 1",IF(M347&gt;50,"Tier 2","Tier 3")),"")</f>
        <v>Tier 2</v>
      </c>
      <c r="O347" t="s">
        <v>800</v>
      </c>
    </row>
    <row r="348" spans="1:17" x14ac:dyDescent="0.25">
      <c r="A348" t="s">
        <v>711</v>
      </c>
      <c r="B348" t="s">
        <v>43</v>
      </c>
      <c r="C348" t="s">
        <v>729</v>
      </c>
      <c r="D348" t="s">
        <v>730</v>
      </c>
      <c r="E348" s="2">
        <v>2016</v>
      </c>
      <c r="F348" s="3">
        <v>32</v>
      </c>
      <c r="G348" s="4">
        <v>0.38</v>
      </c>
      <c r="H348" s="5">
        <v>1.1000000000000001</v>
      </c>
      <c r="I348" t="s">
        <v>63</v>
      </c>
      <c r="J348">
        <v>1.5</v>
      </c>
      <c r="K348">
        <v>0.8</v>
      </c>
      <c r="L348">
        <v>1</v>
      </c>
      <c r="M348" s="4">
        <f>IF(E348&lt;&gt;"",IF(F348&lt;&gt;"",(E348/(F348+1))*J348*K348*L348,""),"")</f>
        <v>73.309090909090912</v>
      </c>
      <c r="N348" t="str">
        <f>IF(M348&lt;&gt;"",IF(M348&gt;150,"Tier 1",IF(M348&gt;50,"Tier 2","Tier 3")),"")</f>
        <v>Tier 2</v>
      </c>
      <c r="O348" t="s">
        <v>731</v>
      </c>
    </row>
    <row r="349" spans="1:17" x14ac:dyDescent="0.25">
      <c r="A349" t="s">
        <v>873</v>
      </c>
      <c r="B349" t="s">
        <v>51</v>
      </c>
      <c r="C349" t="s">
        <v>896</v>
      </c>
      <c r="D349" t="s">
        <v>897</v>
      </c>
      <c r="E349" s="2">
        <v>2883</v>
      </c>
      <c r="F349" s="3">
        <v>32</v>
      </c>
      <c r="G349" s="4">
        <v>0.38</v>
      </c>
      <c r="H349" s="5">
        <v>0.65</v>
      </c>
      <c r="I349" t="s">
        <v>19</v>
      </c>
      <c r="J349">
        <v>1</v>
      </c>
      <c r="K349">
        <v>1</v>
      </c>
      <c r="L349">
        <v>0.8</v>
      </c>
      <c r="M349" s="4">
        <f>IF(E349&lt;&gt;"",IF(F349&lt;&gt;"",(E349/(F349+1))*J349*K349*L349,""),"")</f>
        <v>69.890909090909091</v>
      </c>
      <c r="N349" t="str">
        <f>IF(M349&lt;&gt;"",IF(M349&gt;150,"Tier 1",IF(M349&gt;50,"Tier 2","Tier 3")),"")</f>
        <v>Tier 2</v>
      </c>
      <c r="O349" t="s">
        <v>898</v>
      </c>
    </row>
    <row r="350" spans="1:17" x14ac:dyDescent="0.25">
      <c r="A350" t="s">
        <v>1165</v>
      </c>
      <c r="B350" t="s">
        <v>51</v>
      </c>
      <c r="C350" t="s">
        <v>1188</v>
      </c>
      <c r="D350" t="s">
        <v>1189</v>
      </c>
      <c r="E350" s="2">
        <v>1573</v>
      </c>
      <c r="F350" s="3">
        <v>36</v>
      </c>
      <c r="G350" s="4">
        <v>0.38</v>
      </c>
      <c r="H350" s="5">
        <v>2.42</v>
      </c>
      <c r="I350" t="s">
        <v>58</v>
      </c>
      <c r="J350">
        <v>1.5</v>
      </c>
      <c r="K350">
        <v>1.3</v>
      </c>
      <c r="L350">
        <v>0.8</v>
      </c>
      <c r="M350" s="4">
        <f>IF(E350&lt;&gt;"",IF(F350&lt;&gt;"",(E350/(F350+1))*J350*K350*L350,""),"")</f>
        <v>66.32108108108109</v>
      </c>
      <c r="N350" t="str">
        <f>IF(M350&lt;&gt;"",IF(M350&gt;150,"Tier 1",IF(M350&gt;50,"Tier 2","Tier 3")),"")</f>
        <v>Tier 2</v>
      </c>
      <c r="O350" t="s">
        <v>1190</v>
      </c>
    </row>
    <row r="351" spans="1:17" x14ac:dyDescent="0.25">
      <c r="A351" t="s">
        <v>325</v>
      </c>
      <c r="B351" t="s">
        <v>29</v>
      </c>
      <c r="C351" t="s">
        <v>333</v>
      </c>
      <c r="D351" t="s">
        <v>334</v>
      </c>
      <c r="E351" s="2">
        <v>1561</v>
      </c>
      <c r="F351" s="3">
        <v>32</v>
      </c>
      <c r="G351" s="4">
        <v>0.38</v>
      </c>
      <c r="H351" s="5">
        <v>0.64</v>
      </c>
      <c r="I351" t="s">
        <v>58</v>
      </c>
      <c r="J351">
        <v>1</v>
      </c>
      <c r="K351">
        <v>1.3</v>
      </c>
      <c r="L351">
        <v>1</v>
      </c>
      <c r="M351" s="4">
        <f>IF(E351&lt;&gt;"",IF(F351&lt;&gt;"",(E351/(F351+1))*J351*K351*L351,""),"")</f>
        <v>61.493939393939399</v>
      </c>
      <c r="N351" t="str">
        <f>IF(M351&lt;&gt;"",IF(M351&gt;150,"Tier 1",IF(M351&gt;50,"Tier 2","Tier 3")),"")</f>
        <v>Tier 2</v>
      </c>
      <c r="O351" t="s">
        <v>335</v>
      </c>
    </row>
    <row r="352" spans="1:17" x14ac:dyDescent="0.25">
      <c r="A352" t="s">
        <v>325</v>
      </c>
      <c r="B352" t="s">
        <v>35</v>
      </c>
      <c r="C352" t="s">
        <v>337</v>
      </c>
      <c r="D352" t="s">
        <v>338</v>
      </c>
      <c r="E352" s="2">
        <v>1692</v>
      </c>
      <c r="F352" s="3">
        <v>32</v>
      </c>
      <c r="G352" s="4">
        <v>0.38</v>
      </c>
      <c r="H352" s="5">
        <v>0.47</v>
      </c>
      <c r="I352" t="s">
        <v>19</v>
      </c>
      <c r="J352">
        <v>1</v>
      </c>
      <c r="K352">
        <v>1</v>
      </c>
      <c r="L352">
        <v>1</v>
      </c>
      <c r="M352" s="4">
        <f>IF(E352&lt;&gt;"",IF(F352&lt;&gt;"",(E352/(F352+1))*J352*K352*L352,""),"")</f>
        <v>51.272727272727273</v>
      </c>
      <c r="N352" t="str">
        <f>IF(M352&lt;&gt;"",IF(M352&gt;150,"Tier 1",IF(M352&gt;50,"Tier 2","Tier 3")),"")</f>
        <v>Tier 2</v>
      </c>
      <c r="O352" t="s">
        <v>339</v>
      </c>
    </row>
    <row r="353" spans="1:17" x14ac:dyDescent="0.25">
      <c r="A353" t="s">
        <v>423</v>
      </c>
      <c r="B353" t="s">
        <v>55</v>
      </c>
      <c r="C353" t="s">
        <v>449</v>
      </c>
      <c r="D353" t="s">
        <v>450</v>
      </c>
      <c r="E353" s="2">
        <v>824</v>
      </c>
      <c r="F353" s="3">
        <v>35</v>
      </c>
      <c r="G353" s="4">
        <v>0.38</v>
      </c>
      <c r="H353" s="5">
        <v>1.27</v>
      </c>
      <c r="I353" t="s">
        <v>63</v>
      </c>
      <c r="J353">
        <v>1.5</v>
      </c>
      <c r="K353">
        <v>0.8</v>
      </c>
      <c r="L353">
        <v>0.8</v>
      </c>
      <c r="M353" s="4">
        <f>IF(E353&lt;&gt;"",IF(F353&lt;&gt;"",(E353/(F353+1))*J353*K353*L353,""),"")</f>
        <v>21.973333333333336</v>
      </c>
      <c r="N353" t="str">
        <f>IF(M353&lt;&gt;"",IF(M353&gt;150,"Tier 1",IF(M353&gt;50,"Tier 2","Tier 3")),"")</f>
        <v>Tier 3</v>
      </c>
      <c r="O353" t="s">
        <v>451</v>
      </c>
    </row>
    <row r="354" spans="1:17" x14ac:dyDescent="0.25">
      <c r="A354" t="s">
        <v>1069</v>
      </c>
      <c r="B354" t="s">
        <v>16</v>
      </c>
      <c r="C354" t="s">
        <v>1070</v>
      </c>
      <c r="D354" t="s">
        <v>1071</v>
      </c>
      <c r="E354" s="2">
        <v>7274</v>
      </c>
      <c r="F354" s="3">
        <v>33</v>
      </c>
      <c r="G354" s="4">
        <v>0.39</v>
      </c>
      <c r="H354" s="5">
        <v>1.69</v>
      </c>
      <c r="I354" t="s">
        <v>58</v>
      </c>
      <c r="J354">
        <v>1.5</v>
      </c>
      <c r="K354">
        <v>1.3</v>
      </c>
      <c r="L354">
        <v>1.2</v>
      </c>
      <c r="M354" s="4">
        <f>IF(E354&lt;&gt;"",IF(F354&lt;&gt;"",(E354/(F354+1))*J354*K354*L354,""),"")</f>
        <v>500.62235294117636</v>
      </c>
      <c r="N354" t="str">
        <f>IF(M354&lt;&gt;"",IF(M354&gt;150,"Tier 1",IF(M354&gt;50,"Tier 2","Tier 3")),"")</f>
        <v>Tier 1</v>
      </c>
      <c r="O354" t="s">
        <v>1072</v>
      </c>
    </row>
    <row r="355" spans="1:17" x14ac:dyDescent="0.25">
      <c r="A355" t="s">
        <v>163</v>
      </c>
      <c r="B355" t="s">
        <v>21</v>
      </c>
      <c r="C355" t="s">
        <v>167</v>
      </c>
      <c r="D355" t="s">
        <v>168</v>
      </c>
      <c r="E355" s="2">
        <v>10120</v>
      </c>
      <c r="F355" s="3">
        <v>39</v>
      </c>
      <c r="G355" s="4">
        <v>0.39</v>
      </c>
      <c r="H355" s="5">
        <v>1.48</v>
      </c>
      <c r="I355" t="s">
        <v>19</v>
      </c>
      <c r="J355">
        <v>1.5</v>
      </c>
      <c r="K355">
        <v>1</v>
      </c>
      <c r="L355">
        <v>1.2</v>
      </c>
      <c r="M355" s="4">
        <f>IF(E355&lt;&gt;"",IF(F355&lt;&gt;"",(E355/(F355+1))*J355*K355*L355,""),"")</f>
        <v>455.4</v>
      </c>
      <c r="N355" t="str">
        <f>IF(M355&lt;&gt;"",IF(M355&gt;150,"Tier 1",IF(M355&gt;50,"Tier 2","Tier 3")),"")</f>
        <v>Tier 1</v>
      </c>
      <c r="O355" t="s">
        <v>169</v>
      </c>
      <c r="P355" t="s">
        <v>1197</v>
      </c>
      <c r="Q355" t="s">
        <v>1197</v>
      </c>
    </row>
    <row r="356" spans="1:17" x14ac:dyDescent="0.25">
      <c r="A356" t="s">
        <v>129</v>
      </c>
      <c r="B356" t="s">
        <v>35</v>
      </c>
      <c r="C356" t="s">
        <v>143</v>
      </c>
      <c r="D356" t="s">
        <v>144</v>
      </c>
      <c r="E356" s="2">
        <v>9796</v>
      </c>
      <c r="F356" s="3">
        <v>45</v>
      </c>
      <c r="G356" s="4">
        <v>0.39</v>
      </c>
      <c r="H356" s="5">
        <v>1.07</v>
      </c>
      <c r="I356" t="s">
        <v>19</v>
      </c>
      <c r="J356">
        <v>1.5</v>
      </c>
      <c r="K356">
        <v>1</v>
      </c>
      <c r="L356">
        <v>1</v>
      </c>
      <c r="M356" s="4">
        <f>IF(E356&lt;&gt;"",IF(F356&lt;&gt;"",(E356/(F356+1))*J356*K356*L356,""),"")</f>
        <v>319.43478260869563</v>
      </c>
      <c r="N356" t="str">
        <f>IF(M356&lt;&gt;"",IF(M356&gt;150,"Tier 1",IF(M356&gt;50,"Tier 2","Tier 3")),"")</f>
        <v>Tier 1</v>
      </c>
      <c r="O356" t="s">
        <v>145</v>
      </c>
    </row>
    <row r="357" spans="1:17" x14ac:dyDescent="0.25">
      <c r="A357" t="s">
        <v>129</v>
      </c>
      <c r="B357" t="s">
        <v>47</v>
      </c>
      <c r="C357" t="s">
        <v>133</v>
      </c>
      <c r="D357" t="s">
        <v>152</v>
      </c>
      <c r="E357" s="2">
        <v>6627</v>
      </c>
      <c r="F357" s="3">
        <v>40</v>
      </c>
      <c r="G357" s="4">
        <v>0.39</v>
      </c>
      <c r="H357" s="5">
        <v>1.33</v>
      </c>
      <c r="I357" t="s">
        <v>58</v>
      </c>
      <c r="J357">
        <v>1.5</v>
      </c>
      <c r="K357">
        <v>1.3</v>
      </c>
      <c r="L357">
        <v>1</v>
      </c>
      <c r="M357" s="4">
        <f>IF(E357&lt;&gt;"",IF(F357&lt;&gt;"",(E357/(F357+1))*J357*K357*L357,""),"")</f>
        <v>315.18658536585366</v>
      </c>
      <c r="N357" t="str">
        <f>IF(M357&lt;&gt;"",IF(M357&gt;150,"Tier 1",IF(M357&gt;50,"Tier 2","Tier 3")),"")</f>
        <v>Tier 1</v>
      </c>
      <c r="O357" t="s">
        <v>153</v>
      </c>
    </row>
    <row r="358" spans="1:17" x14ac:dyDescent="0.25">
      <c r="A358" t="s">
        <v>229</v>
      </c>
      <c r="B358" t="s">
        <v>33</v>
      </c>
      <c r="C358" t="s">
        <v>233</v>
      </c>
      <c r="D358" t="s">
        <v>234</v>
      </c>
      <c r="E358" s="2">
        <v>5732</v>
      </c>
      <c r="F358" s="3">
        <v>41</v>
      </c>
      <c r="G358" s="4">
        <v>0.39</v>
      </c>
      <c r="H358" s="5">
        <v>2.1800000000000002</v>
      </c>
      <c r="I358" t="s">
        <v>19</v>
      </c>
      <c r="J358">
        <v>1.5</v>
      </c>
      <c r="K358">
        <v>1</v>
      </c>
      <c r="L358">
        <v>1.2</v>
      </c>
      <c r="M358" s="4">
        <f>IF(E358&lt;&gt;"",IF(F358&lt;&gt;"",(E358/(F358+1))*J358*K358*L358,""),"")</f>
        <v>245.65714285714284</v>
      </c>
      <c r="N358" t="str">
        <f>IF(M358&lt;&gt;"",IF(M358&gt;150,"Tier 1",IF(M358&gt;50,"Tier 2","Tier 3")),"")</f>
        <v>Tier 1</v>
      </c>
      <c r="O358" t="s">
        <v>240</v>
      </c>
    </row>
    <row r="359" spans="1:17" x14ac:dyDescent="0.25">
      <c r="A359" t="s">
        <v>229</v>
      </c>
      <c r="B359" t="s">
        <v>35</v>
      </c>
      <c r="C359" t="s">
        <v>241</v>
      </c>
      <c r="D359" t="s">
        <v>242</v>
      </c>
      <c r="E359" s="2">
        <v>5092</v>
      </c>
      <c r="F359" s="3">
        <v>34</v>
      </c>
      <c r="G359" s="4">
        <v>0.39</v>
      </c>
      <c r="H359" s="5">
        <v>1.39</v>
      </c>
      <c r="I359" t="s">
        <v>19</v>
      </c>
      <c r="J359">
        <v>1.5</v>
      </c>
      <c r="K359">
        <v>1</v>
      </c>
      <c r="L359">
        <v>1</v>
      </c>
      <c r="M359" s="4">
        <f>IF(E359&lt;&gt;"",IF(F359&lt;&gt;"",(E359/(F359+1))*J359*K359*L359,""),"")</f>
        <v>218.22857142857146</v>
      </c>
      <c r="N359" t="str">
        <f>IF(M359&lt;&gt;"",IF(M359&gt;150,"Tier 1",IF(M359&gt;50,"Tier 2","Tier 3")),"")</f>
        <v>Tier 1</v>
      </c>
      <c r="O359" t="s">
        <v>243</v>
      </c>
    </row>
    <row r="360" spans="1:17" x14ac:dyDescent="0.25">
      <c r="A360" t="s">
        <v>423</v>
      </c>
      <c r="B360" t="s">
        <v>25</v>
      </c>
      <c r="C360" t="s">
        <v>424</v>
      </c>
      <c r="D360" t="s">
        <v>425</v>
      </c>
      <c r="E360" s="2">
        <v>3014</v>
      </c>
      <c r="F360" s="3">
        <v>37</v>
      </c>
      <c r="G360" s="4">
        <v>0.39</v>
      </c>
      <c r="H360" s="5">
        <v>1.21</v>
      </c>
      <c r="I360" t="s">
        <v>58</v>
      </c>
      <c r="J360">
        <v>1.5</v>
      </c>
      <c r="K360">
        <v>1.3</v>
      </c>
      <c r="L360">
        <v>1.2</v>
      </c>
      <c r="M360" s="4">
        <f>IF(E360&lt;&gt;"",IF(F360&lt;&gt;"",(E360/(F360+1))*J360*K360*L360,""),"")</f>
        <v>185.59894736842102</v>
      </c>
      <c r="N360" t="str">
        <f>IF(M360&lt;&gt;"",IF(M360&gt;150,"Tier 1",IF(M360&gt;50,"Tier 2","Tier 3")),"")</f>
        <v>Tier 1</v>
      </c>
      <c r="O360" t="s">
        <v>430</v>
      </c>
    </row>
    <row r="361" spans="1:17" x14ac:dyDescent="0.25">
      <c r="A361" t="s">
        <v>1133</v>
      </c>
      <c r="B361" t="s">
        <v>33</v>
      </c>
      <c r="C361" t="s">
        <v>1137</v>
      </c>
      <c r="D361" t="s">
        <v>1138</v>
      </c>
      <c r="E361" s="2">
        <v>3236</v>
      </c>
      <c r="F361" s="3">
        <v>38</v>
      </c>
      <c r="G361" s="4">
        <v>0.39</v>
      </c>
      <c r="H361" s="5">
        <v>1.33</v>
      </c>
      <c r="I361" t="s">
        <v>19</v>
      </c>
      <c r="J361">
        <v>1.5</v>
      </c>
      <c r="K361">
        <v>1</v>
      </c>
      <c r="L361">
        <v>1.2</v>
      </c>
      <c r="M361" s="4">
        <f>IF(E361&lt;&gt;"",IF(F361&lt;&gt;"",(E361/(F361+1))*J361*K361*L361,""),"")</f>
        <v>149.35384615384615</v>
      </c>
      <c r="N361" t="str">
        <f>IF(M361&lt;&gt;"",IF(M361&gt;150,"Tier 1",IF(M361&gt;50,"Tier 2","Tier 3")),"")</f>
        <v>Tier 2</v>
      </c>
      <c r="O361" t="s">
        <v>1144</v>
      </c>
    </row>
    <row r="362" spans="1:17" x14ac:dyDescent="0.25">
      <c r="A362" t="s">
        <v>15</v>
      </c>
      <c r="B362" t="s">
        <v>47</v>
      </c>
      <c r="C362" t="s">
        <v>48</v>
      </c>
      <c r="D362" t="s">
        <v>49</v>
      </c>
      <c r="E362" s="2">
        <v>4944</v>
      </c>
      <c r="F362" s="3">
        <v>34</v>
      </c>
      <c r="G362" s="4">
        <v>0.39</v>
      </c>
      <c r="H362" s="5">
        <v>0.44</v>
      </c>
      <c r="I362" t="s">
        <v>19</v>
      </c>
      <c r="J362">
        <v>1</v>
      </c>
      <c r="K362">
        <v>1</v>
      </c>
      <c r="L362">
        <v>1</v>
      </c>
      <c r="M362" s="4">
        <f>IF(E362&lt;&gt;"",IF(F362&lt;&gt;"",(E362/(F362+1))*J362*K362*L362,""),"")</f>
        <v>141.25714285714287</v>
      </c>
      <c r="N362" t="str">
        <f>IF(M362&lt;&gt;"",IF(M362&gt;150,"Tier 1",IF(M362&gt;50,"Tier 2","Tier 3")),"")</f>
        <v>Tier 2</v>
      </c>
      <c r="O362" t="s">
        <v>50</v>
      </c>
    </row>
    <row r="363" spans="1:17" x14ac:dyDescent="0.25">
      <c r="A363" t="s">
        <v>941</v>
      </c>
      <c r="B363" t="s">
        <v>33</v>
      </c>
      <c r="C363" t="s">
        <v>945</v>
      </c>
      <c r="D363" t="s">
        <v>946</v>
      </c>
      <c r="E363" s="2">
        <v>3257</v>
      </c>
      <c r="F363" s="3">
        <v>36</v>
      </c>
      <c r="G363" s="4">
        <v>0.39</v>
      </c>
      <c r="H363" s="5">
        <v>0.92</v>
      </c>
      <c r="I363" t="s">
        <v>58</v>
      </c>
      <c r="J363">
        <v>1</v>
      </c>
      <c r="K363">
        <v>1.3</v>
      </c>
      <c r="L363">
        <v>1.2</v>
      </c>
      <c r="M363" s="4">
        <f>IF(E363&lt;&gt;"",IF(F363&lt;&gt;"",(E363/(F363+1))*J363*K363*L363,""),"")</f>
        <v>137.32216216216216</v>
      </c>
      <c r="N363" t="str">
        <f>IF(M363&lt;&gt;"",IF(M363&gt;150,"Tier 1",IF(M363&gt;50,"Tier 2","Tier 3")),"")</f>
        <v>Tier 2</v>
      </c>
      <c r="O363" t="s">
        <v>952</v>
      </c>
    </row>
    <row r="364" spans="1:17" x14ac:dyDescent="0.25">
      <c r="A364" t="s">
        <v>647</v>
      </c>
      <c r="B364" t="s">
        <v>47</v>
      </c>
      <c r="C364" t="s">
        <v>651</v>
      </c>
      <c r="D364" t="s">
        <v>668</v>
      </c>
      <c r="E364" s="2">
        <v>3043</v>
      </c>
      <c r="F364" s="3">
        <v>33</v>
      </c>
      <c r="G364" s="4">
        <v>0.39</v>
      </c>
      <c r="H364" s="5">
        <v>1.57</v>
      </c>
      <c r="I364" t="s">
        <v>19</v>
      </c>
      <c r="J364">
        <v>1.5</v>
      </c>
      <c r="K364">
        <v>1</v>
      </c>
      <c r="L364">
        <v>1</v>
      </c>
      <c r="M364" s="4">
        <f>IF(E364&lt;&gt;"",IF(F364&lt;&gt;"",(E364/(F364+1))*J364*K364*L364,""),"")</f>
        <v>134.25</v>
      </c>
      <c r="N364" t="str">
        <f>IF(M364&lt;&gt;"",IF(M364&gt;150,"Tier 1",IF(M364&gt;50,"Tier 2","Tier 3")),"")</f>
        <v>Tier 2</v>
      </c>
      <c r="O364" t="s">
        <v>669</v>
      </c>
    </row>
    <row r="365" spans="1:17" x14ac:dyDescent="0.25">
      <c r="A365" t="s">
        <v>455</v>
      </c>
      <c r="B365" t="s">
        <v>39</v>
      </c>
      <c r="C365" t="s">
        <v>470</v>
      </c>
      <c r="D365" t="s">
        <v>471</v>
      </c>
      <c r="E365" s="2">
        <v>4760</v>
      </c>
      <c r="F365" s="3">
        <v>35</v>
      </c>
      <c r="G365" s="4">
        <v>0.39</v>
      </c>
      <c r="H365" s="5">
        <v>0.21</v>
      </c>
      <c r="I365" t="s">
        <v>19</v>
      </c>
      <c r="J365">
        <v>1</v>
      </c>
      <c r="K365">
        <v>1</v>
      </c>
      <c r="L365">
        <v>1</v>
      </c>
      <c r="M365" s="4">
        <f>IF(E365&lt;&gt;"",IF(F365&lt;&gt;"",(E365/(F365+1))*J365*K365*L365,""),"")</f>
        <v>132.22222222222223</v>
      </c>
      <c r="N365" t="str">
        <f>IF(M365&lt;&gt;"",IF(M365&gt;150,"Tier 1",IF(M365&gt;50,"Tier 2","Tier 3")),"")</f>
        <v>Tier 2</v>
      </c>
      <c r="O365" t="s">
        <v>472</v>
      </c>
    </row>
    <row r="366" spans="1:17" x14ac:dyDescent="0.25">
      <c r="A366" t="s">
        <v>711</v>
      </c>
      <c r="B366" t="s">
        <v>39</v>
      </c>
      <c r="C366" t="s">
        <v>726</v>
      </c>
      <c r="D366" t="s">
        <v>727</v>
      </c>
      <c r="E366" s="2">
        <v>2510</v>
      </c>
      <c r="F366" s="3">
        <v>38</v>
      </c>
      <c r="G366" s="4">
        <v>0.39</v>
      </c>
      <c r="H366" s="5">
        <v>1.55</v>
      </c>
      <c r="I366" t="s">
        <v>19</v>
      </c>
      <c r="J366">
        <v>1.5</v>
      </c>
      <c r="K366">
        <v>1</v>
      </c>
      <c r="L366">
        <v>1</v>
      </c>
      <c r="M366" s="4">
        <f>IF(E366&lt;&gt;"",IF(F366&lt;&gt;"",(E366/(F366+1))*J366*K366*L366,""),"")</f>
        <v>96.538461538461547</v>
      </c>
      <c r="N366" t="str">
        <f>IF(M366&lt;&gt;"",IF(M366&gt;150,"Tier 1",IF(M366&gt;50,"Tier 2","Tier 3")),"")</f>
        <v>Tier 2</v>
      </c>
      <c r="O366" t="s">
        <v>728</v>
      </c>
    </row>
    <row r="367" spans="1:17" x14ac:dyDescent="0.25">
      <c r="A367" t="s">
        <v>711</v>
      </c>
      <c r="B367" t="s">
        <v>51</v>
      </c>
      <c r="C367" t="s">
        <v>734</v>
      </c>
      <c r="D367" t="s">
        <v>735</v>
      </c>
      <c r="E367" s="2">
        <v>2104</v>
      </c>
      <c r="F367" s="3">
        <v>41</v>
      </c>
      <c r="G367" s="4">
        <v>0.39</v>
      </c>
      <c r="H367" s="5">
        <v>1.02</v>
      </c>
      <c r="I367" t="s">
        <v>58</v>
      </c>
      <c r="J367">
        <v>1.5</v>
      </c>
      <c r="K367">
        <v>1.3</v>
      </c>
      <c r="L367">
        <v>0.8</v>
      </c>
      <c r="M367" s="4">
        <f>IF(E367&lt;&gt;"",IF(F367&lt;&gt;"",(E367/(F367+1))*J367*K367*L367,""),"")</f>
        <v>78.148571428571429</v>
      </c>
      <c r="N367" t="str">
        <f>IF(M367&lt;&gt;"",IF(M367&gt;150,"Tier 1",IF(M367&gt;50,"Tier 2","Tier 3")),"")</f>
        <v>Tier 2</v>
      </c>
      <c r="O367" t="s">
        <v>736</v>
      </c>
    </row>
    <row r="368" spans="1:17" x14ac:dyDescent="0.25">
      <c r="A368" t="s">
        <v>1133</v>
      </c>
      <c r="B368" t="s">
        <v>35</v>
      </c>
      <c r="C368" t="s">
        <v>1145</v>
      </c>
      <c r="D368" t="s">
        <v>1146</v>
      </c>
      <c r="E368" s="2">
        <v>1996</v>
      </c>
      <c r="F368" s="3">
        <v>38</v>
      </c>
      <c r="G368" s="4">
        <v>0.39</v>
      </c>
      <c r="H368" s="5">
        <v>1.43</v>
      </c>
      <c r="I368" t="s">
        <v>19</v>
      </c>
      <c r="J368">
        <v>1.5</v>
      </c>
      <c r="K368">
        <v>1</v>
      </c>
      <c r="L368">
        <v>1</v>
      </c>
      <c r="M368" s="4">
        <f>IF(E368&lt;&gt;"",IF(F368&lt;&gt;"",(E368/(F368+1))*J368*K368*L368,""),"")</f>
        <v>76.769230769230774</v>
      </c>
      <c r="N368" t="str">
        <f>IF(M368&lt;&gt;"",IF(M368&gt;150,"Tier 1",IF(M368&gt;50,"Tier 2","Tier 3")),"")</f>
        <v>Tier 2</v>
      </c>
      <c r="O368" t="s">
        <v>1147</v>
      </c>
    </row>
    <row r="369" spans="1:16" x14ac:dyDescent="0.25">
      <c r="A369" t="s">
        <v>1165</v>
      </c>
      <c r="B369" t="s">
        <v>47</v>
      </c>
      <c r="C369" t="s">
        <v>1169</v>
      </c>
      <c r="D369" t="s">
        <v>1186</v>
      </c>
      <c r="E369" s="2">
        <v>1075</v>
      </c>
      <c r="F369" s="3">
        <v>33</v>
      </c>
      <c r="G369" s="4">
        <v>0.39</v>
      </c>
      <c r="H369" s="5">
        <v>2.14</v>
      </c>
      <c r="I369" t="s">
        <v>19</v>
      </c>
      <c r="J369">
        <v>1.5</v>
      </c>
      <c r="K369">
        <v>1</v>
      </c>
      <c r="L369">
        <v>1</v>
      </c>
      <c r="M369" s="4">
        <f>IF(E369&lt;&gt;"",IF(F369&lt;&gt;"",(E369/(F369+1))*J369*K369*L369,""),"")</f>
        <v>47.42647058823529</v>
      </c>
      <c r="N369" t="str">
        <f>IF(M369&lt;&gt;"",IF(M369&gt;150,"Tier 1",IF(M369&gt;50,"Tier 2","Tier 3")),"")</f>
        <v>Tier 3</v>
      </c>
      <c r="O369" t="s">
        <v>1187</v>
      </c>
    </row>
    <row r="370" spans="1:16" x14ac:dyDescent="0.25">
      <c r="A370" t="s">
        <v>357</v>
      </c>
      <c r="B370" t="s">
        <v>16</v>
      </c>
      <c r="C370" t="s">
        <v>358</v>
      </c>
      <c r="D370" t="s">
        <v>359</v>
      </c>
      <c r="E370" s="2">
        <v>13391</v>
      </c>
      <c r="F370" s="3">
        <v>36</v>
      </c>
      <c r="G370" s="4">
        <v>0.4</v>
      </c>
      <c r="H370" s="5">
        <v>1.57</v>
      </c>
      <c r="I370" t="s">
        <v>19</v>
      </c>
      <c r="J370">
        <v>1.5</v>
      </c>
      <c r="K370">
        <v>1</v>
      </c>
      <c r="L370">
        <v>1.2</v>
      </c>
      <c r="M370" s="4">
        <f>IF(E370&lt;&gt;"",IF(F370&lt;&gt;"",(E370/(F370+1))*J370*K370*L370,""),"")</f>
        <v>651.45405405405393</v>
      </c>
      <c r="N370" t="str">
        <f>IF(M370&lt;&gt;"",IF(M370&gt;150,"Tier 1",IF(M370&gt;50,"Tier 2","Tier 3")),"")</f>
        <v>Tier 1</v>
      </c>
      <c r="O370" t="s">
        <v>360</v>
      </c>
      <c r="P370" s="7"/>
    </row>
    <row r="371" spans="1:16" x14ac:dyDescent="0.25">
      <c r="A371" t="s">
        <v>647</v>
      </c>
      <c r="B371" t="s">
        <v>21</v>
      </c>
      <c r="C371" t="s">
        <v>651</v>
      </c>
      <c r="D371" t="s">
        <v>652</v>
      </c>
      <c r="E371" s="2">
        <v>9064</v>
      </c>
      <c r="F371" s="3">
        <v>35</v>
      </c>
      <c r="G371" s="4">
        <v>0.4</v>
      </c>
      <c r="H371" s="5">
        <v>1.33</v>
      </c>
      <c r="I371" t="s">
        <v>19</v>
      </c>
      <c r="J371">
        <v>1.5</v>
      </c>
      <c r="K371">
        <v>1</v>
      </c>
      <c r="L371">
        <v>1.2</v>
      </c>
      <c r="M371" s="4">
        <f>IF(E371&lt;&gt;"",IF(F371&lt;&gt;"",(E371/(F371+1))*J371*K371*L371,""),"")</f>
        <v>453.19999999999993</v>
      </c>
      <c r="N371" t="str">
        <f>IF(M371&lt;&gt;"",IF(M371&gt;150,"Tier 1",IF(M371&gt;50,"Tier 2","Tier 3")),"")</f>
        <v>Tier 1</v>
      </c>
      <c r="O371" t="s">
        <v>653</v>
      </c>
    </row>
    <row r="372" spans="1:16" x14ac:dyDescent="0.25">
      <c r="A372" t="s">
        <v>129</v>
      </c>
      <c r="B372" t="s">
        <v>29</v>
      </c>
      <c r="C372" t="s">
        <v>138</v>
      </c>
      <c r="D372" t="s">
        <v>139</v>
      </c>
      <c r="E372" s="2">
        <v>10693</v>
      </c>
      <c r="F372" s="3">
        <v>49</v>
      </c>
      <c r="G372" s="4">
        <v>0.4</v>
      </c>
      <c r="H372" s="5">
        <v>1.49</v>
      </c>
      <c r="I372" t="s">
        <v>58</v>
      </c>
      <c r="J372">
        <v>1.5</v>
      </c>
      <c r="K372">
        <v>1.3</v>
      </c>
      <c r="L372">
        <v>1</v>
      </c>
      <c r="M372" s="4">
        <f>IF(E372&lt;&gt;"",IF(F372&lt;&gt;"",(E372/(F372+1))*J372*K372*L372,""),"")</f>
        <v>417.02700000000004</v>
      </c>
      <c r="N372" t="str">
        <f>IF(M372&lt;&gt;"",IF(M372&gt;150,"Tier 1",IF(M372&gt;50,"Tier 2","Tier 3")),"")</f>
        <v>Tier 1</v>
      </c>
      <c r="O372" t="s">
        <v>140</v>
      </c>
    </row>
    <row r="373" spans="1:16" x14ac:dyDescent="0.25">
      <c r="A373" t="s">
        <v>583</v>
      </c>
      <c r="B373" t="s">
        <v>21</v>
      </c>
      <c r="C373" t="s">
        <v>587</v>
      </c>
      <c r="D373" t="s">
        <v>588</v>
      </c>
      <c r="E373" s="2">
        <v>6874</v>
      </c>
      <c r="F373" s="3">
        <v>34</v>
      </c>
      <c r="G373" s="4">
        <v>0.4</v>
      </c>
      <c r="H373" s="5">
        <v>1.02</v>
      </c>
      <c r="I373" t="s">
        <v>63</v>
      </c>
      <c r="J373">
        <v>1.5</v>
      </c>
      <c r="K373">
        <v>0.8</v>
      </c>
      <c r="L373">
        <v>1.2</v>
      </c>
      <c r="M373" s="4">
        <f>IF(E373&lt;&gt;"",IF(F373&lt;&gt;"",(E373/(F373+1))*J373*K373*L373,""),"")</f>
        <v>282.81600000000003</v>
      </c>
      <c r="N373" t="str">
        <f>IF(M373&lt;&gt;"",IF(M373&gt;150,"Tier 1",IF(M373&gt;50,"Tier 2","Tier 3")),"")</f>
        <v>Tier 1</v>
      </c>
      <c r="O373" t="s">
        <v>589</v>
      </c>
    </row>
    <row r="374" spans="1:16" x14ac:dyDescent="0.25">
      <c r="A374" t="s">
        <v>583</v>
      </c>
      <c r="B374" t="s">
        <v>16</v>
      </c>
      <c r="C374" t="s">
        <v>584</v>
      </c>
      <c r="D374" t="s">
        <v>585</v>
      </c>
      <c r="E374" s="2">
        <v>4218</v>
      </c>
      <c r="F374" s="3">
        <v>34</v>
      </c>
      <c r="G374" s="4">
        <v>0.4</v>
      </c>
      <c r="H374" s="5">
        <v>1.1499999999999999</v>
      </c>
      <c r="I374" t="s">
        <v>58</v>
      </c>
      <c r="J374">
        <v>1.5</v>
      </c>
      <c r="K374">
        <v>1.3</v>
      </c>
      <c r="L374">
        <v>1.2</v>
      </c>
      <c r="M374" s="4">
        <f>IF(E374&lt;&gt;"",IF(F374&lt;&gt;"",(E374/(F374+1))*J374*K374*L374,""),"")</f>
        <v>282.00342857142857</v>
      </c>
      <c r="N374" t="str">
        <f>IF(M374&lt;&gt;"",IF(M374&gt;150,"Tier 1",IF(M374&gt;50,"Tier 2","Tier 3")),"")</f>
        <v>Tier 1</v>
      </c>
      <c r="O374" t="s">
        <v>586</v>
      </c>
    </row>
    <row r="375" spans="1:16" x14ac:dyDescent="0.25">
      <c r="A375" t="s">
        <v>775</v>
      </c>
      <c r="B375" t="s">
        <v>39</v>
      </c>
      <c r="C375" t="s">
        <v>790</v>
      </c>
      <c r="D375" t="s">
        <v>791</v>
      </c>
      <c r="E375" s="2">
        <v>4986</v>
      </c>
      <c r="F375" s="3">
        <v>36</v>
      </c>
      <c r="G375" s="4">
        <v>0.4</v>
      </c>
      <c r="H375" s="5">
        <v>1.27</v>
      </c>
      <c r="I375" t="s">
        <v>58</v>
      </c>
      <c r="J375">
        <v>1.5</v>
      </c>
      <c r="K375">
        <v>1.3</v>
      </c>
      <c r="L375">
        <v>1</v>
      </c>
      <c r="M375" s="4">
        <f>IF(E375&lt;&gt;"",IF(F375&lt;&gt;"",(E375/(F375+1))*J375*K375*L375,""),"")</f>
        <v>262.77567567567564</v>
      </c>
      <c r="N375" t="str">
        <f>IF(M375&lt;&gt;"",IF(M375&gt;150,"Tier 1",IF(M375&gt;50,"Tier 2","Tier 3")),"")</f>
        <v>Tier 1</v>
      </c>
      <c r="O375" t="s">
        <v>792</v>
      </c>
    </row>
    <row r="376" spans="1:16" x14ac:dyDescent="0.25">
      <c r="A376" t="s">
        <v>357</v>
      </c>
      <c r="B376" t="s">
        <v>51</v>
      </c>
      <c r="C376" t="s">
        <v>382</v>
      </c>
      <c r="D376" t="s">
        <v>383</v>
      </c>
      <c r="E376" s="2">
        <v>6173</v>
      </c>
      <c r="F376" s="3">
        <v>39</v>
      </c>
      <c r="G376" s="4">
        <v>0.4</v>
      </c>
      <c r="H376" s="5">
        <v>1.52</v>
      </c>
      <c r="I376" t="s">
        <v>19</v>
      </c>
      <c r="J376">
        <v>1.5</v>
      </c>
      <c r="K376">
        <v>1</v>
      </c>
      <c r="L376">
        <v>0.8</v>
      </c>
      <c r="M376" s="4">
        <f>IF(E376&lt;&gt;"",IF(F376&lt;&gt;"",(E376/(F376+1))*J376*K376*L376,""),"")</f>
        <v>185.19</v>
      </c>
      <c r="N376" t="str">
        <f>IF(M376&lt;&gt;"",IF(M376&gt;150,"Tier 1",IF(M376&gt;50,"Tier 2","Tier 3")),"")</f>
        <v>Tier 1</v>
      </c>
      <c r="O376" t="s">
        <v>384</v>
      </c>
    </row>
    <row r="377" spans="1:16" x14ac:dyDescent="0.25">
      <c r="A377" t="s">
        <v>1069</v>
      </c>
      <c r="B377" t="s">
        <v>33</v>
      </c>
      <c r="C377" t="s">
        <v>1073</v>
      </c>
      <c r="D377" t="s">
        <v>1074</v>
      </c>
      <c r="E377" s="2">
        <v>6185</v>
      </c>
      <c r="F377" s="3">
        <v>34</v>
      </c>
      <c r="G377" s="4">
        <v>0.4</v>
      </c>
      <c r="H377" s="5">
        <v>0.96</v>
      </c>
      <c r="I377" t="s">
        <v>63</v>
      </c>
      <c r="J377">
        <v>1</v>
      </c>
      <c r="K377">
        <v>0.8</v>
      </c>
      <c r="L377">
        <v>1.2</v>
      </c>
      <c r="M377" s="4">
        <f>IF(E377&lt;&gt;"",IF(F377&lt;&gt;"",(E377/(F377+1))*J377*K377*L377,""),"")</f>
        <v>169.64571428571432</v>
      </c>
      <c r="N377" t="str">
        <f>IF(M377&lt;&gt;"",IF(M377&gt;150,"Tier 1",IF(M377&gt;50,"Tier 2","Tier 3")),"")</f>
        <v>Tier 1</v>
      </c>
      <c r="O377" t="s">
        <v>1080</v>
      </c>
    </row>
    <row r="378" spans="1:16" x14ac:dyDescent="0.25">
      <c r="A378" t="s">
        <v>583</v>
      </c>
      <c r="B378" t="s">
        <v>43</v>
      </c>
      <c r="C378" t="s">
        <v>601</v>
      </c>
      <c r="D378" t="s">
        <v>602</v>
      </c>
      <c r="E378" s="2">
        <v>2185</v>
      </c>
      <c r="F378" s="3">
        <v>34</v>
      </c>
      <c r="G378" s="4">
        <v>0.4</v>
      </c>
      <c r="H378" s="5">
        <v>1.1599999999999999</v>
      </c>
      <c r="I378" t="s">
        <v>19</v>
      </c>
      <c r="J378">
        <v>1.5</v>
      </c>
      <c r="K378">
        <v>1</v>
      </c>
      <c r="L378">
        <v>1</v>
      </c>
      <c r="M378" s="4">
        <f>IF(E378&lt;&gt;"",IF(F378&lt;&gt;"",(E378/(F378+1))*J378*K378*L378,""),"")</f>
        <v>93.642857142857139</v>
      </c>
      <c r="N378" t="str">
        <f>IF(M378&lt;&gt;"",IF(M378&gt;150,"Tier 1",IF(M378&gt;50,"Tier 2","Tier 3")),"")</f>
        <v>Tier 2</v>
      </c>
      <c r="O378" t="s">
        <v>603</v>
      </c>
    </row>
    <row r="379" spans="1:16" x14ac:dyDescent="0.25">
      <c r="A379" t="s">
        <v>391</v>
      </c>
      <c r="B379" t="s">
        <v>39</v>
      </c>
      <c r="C379" t="s">
        <v>406</v>
      </c>
      <c r="D379" t="s">
        <v>407</v>
      </c>
      <c r="E379" s="2">
        <v>2304</v>
      </c>
      <c r="F379" s="3">
        <v>39</v>
      </c>
      <c r="G379" s="4">
        <v>0.4</v>
      </c>
      <c r="H379" s="5">
        <v>1.02</v>
      </c>
      <c r="I379" t="s">
        <v>63</v>
      </c>
      <c r="J379">
        <v>1.5</v>
      </c>
      <c r="K379">
        <v>0.8</v>
      </c>
      <c r="L379">
        <v>1</v>
      </c>
      <c r="M379" s="4">
        <f>IF(E379&lt;&gt;"",IF(F379&lt;&gt;"",(E379/(F379+1))*J379*K379*L379,""),"")</f>
        <v>69.12</v>
      </c>
      <c r="N379" t="str">
        <f>IF(M379&lt;&gt;"",IF(M379&gt;150,"Tier 1",IF(M379&gt;50,"Tier 2","Tier 3")),"")</f>
        <v>Tier 2</v>
      </c>
      <c r="O379" t="s">
        <v>408</v>
      </c>
    </row>
    <row r="380" spans="1:16" x14ac:dyDescent="0.25">
      <c r="A380" t="s">
        <v>357</v>
      </c>
      <c r="B380" t="s">
        <v>33</v>
      </c>
      <c r="C380" t="s">
        <v>361</v>
      </c>
      <c r="D380" t="s">
        <v>369</v>
      </c>
      <c r="E380" s="2">
        <v>13675</v>
      </c>
      <c r="F380" s="3">
        <v>39</v>
      </c>
      <c r="G380" s="4">
        <v>0.41</v>
      </c>
      <c r="H380" s="5">
        <v>1.92</v>
      </c>
      <c r="I380" t="s">
        <v>58</v>
      </c>
      <c r="J380">
        <v>1.5</v>
      </c>
      <c r="K380">
        <v>1.3</v>
      </c>
      <c r="L380">
        <v>1.2</v>
      </c>
      <c r="M380" s="4">
        <f>IF(E380&lt;&gt;"",IF(F380&lt;&gt;"",(E380/(F380+1))*J380*K380*L380,""),"")</f>
        <v>799.98749999999995</v>
      </c>
      <c r="N380" t="str">
        <f>IF(M380&lt;&gt;"",IF(M380&gt;150,"Tier 1",IF(M380&gt;50,"Tier 2","Tier 3")),"")</f>
        <v>Tier 1</v>
      </c>
      <c r="O380" t="s">
        <v>370</v>
      </c>
      <c r="P380" s="7"/>
    </row>
    <row r="381" spans="1:16" x14ac:dyDescent="0.25">
      <c r="A381" t="s">
        <v>391</v>
      </c>
      <c r="B381" t="s">
        <v>21</v>
      </c>
      <c r="C381" t="s">
        <v>395</v>
      </c>
      <c r="D381" t="s">
        <v>396</v>
      </c>
      <c r="E381" s="2">
        <v>6358</v>
      </c>
      <c r="F381" s="3">
        <v>34</v>
      </c>
      <c r="G381" s="4">
        <v>0.41</v>
      </c>
      <c r="H381" s="5">
        <v>1.24</v>
      </c>
      <c r="I381" t="s">
        <v>19</v>
      </c>
      <c r="J381">
        <v>1.5</v>
      </c>
      <c r="K381">
        <v>1</v>
      </c>
      <c r="L381">
        <v>1.2</v>
      </c>
      <c r="M381" s="4">
        <f>IF(E381&lt;&gt;"",IF(F381&lt;&gt;"",(E381/(F381+1))*J381*K381*L381,""),"")</f>
        <v>326.98285714285709</v>
      </c>
      <c r="N381" t="str">
        <f>IF(M381&lt;&gt;"",IF(M381&gt;150,"Tier 1",IF(M381&gt;50,"Tier 2","Tier 3")),"")</f>
        <v>Tier 1</v>
      </c>
      <c r="O381" t="s">
        <v>397</v>
      </c>
    </row>
    <row r="382" spans="1:16" x14ac:dyDescent="0.25">
      <c r="A382" t="s">
        <v>905</v>
      </c>
      <c r="B382" t="s">
        <v>35</v>
      </c>
      <c r="C382" t="s">
        <v>920</v>
      </c>
      <c r="D382" t="s">
        <v>921</v>
      </c>
      <c r="E382" s="2">
        <v>7353</v>
      </c>
      <c r="F382" s="3">
        <v>37</v>
      </c>
      <c r="G382" s="4">
        <v>0.41</v>
      </c>
      <c r="H382" s="5">
        <v>1.2</v>
      </c>
      <c r="I382" t="s">
        <v>19</v>
      </c>
      <c r="J382">
        <v>1.5</v>
      </c>
      <c r="K382">
        <v>1</v>
      </c>
      <c r="L382">
        <v>1</v>
      </c>
      <c r="M382" s="4">
        <f>IF(E382&lt;&gt;"",IF(F382&lt;&gt;"",(E382/(F382+1))*J382*K382*L382,""),"")</f>
        <v>290.25</v>
      </c>
      <c r="N382" t="str">
        <f>IF(M382&lt;&gt;"",IF(M382&gt;150,"Tier 1",IF(M382&gt;50,"Tier 2","Tier 3")),"")</f>
        <v>Tier 1</v>
      </c>
      <c r="O382" t="s">
        <v>922</v>
      </c>
    </row>
    <row r="383" spans="1:16" x14ac:dyDescent="0.25">
      <c r="A383" t="s">
        <v>839</v>
      </c>
      <c r="B383" t="s">
        <v>29</v>
      </c>
      <c r="C383" t="s">
        <v>849</v>
      </c>
      <c r="D383" t="s">
        <v>850</v>
      </c>
      <c r="E383" s="2">
        <v>8859</v>
      </c>
      <c r="F383" s="3">
        <v>39</v>
      </c>
      <c r="G383" s="4">
        <v>0.41</v>
      </c>
      <c r="H383" s="5">
        <v>0.4</v>
      </c>
      <c r="I383" t="s">
        <v>58</v>
      </c>
      <c r="J383">
        <v>1</v>
      </c>
      <c r="K383">
        <v>1.3</v>
      </c>
      <c r="L383">
        <v>1</v>
      </c>
      <c r="M383" s="4">
        <f>IF(E383&lt;&gt;"",IF(F383&lt;&gt;"",(E383/(F383+1))*J383*K383*L383,""),"")</f>
        <v>287.91750000000002</v>
      </c>
      <c r="N383" t="str">
        <f>IF(M383&lt;&gt;"",IF(M383&gt;150,"Tier 1",IF(M383&gt;50,"Tier 2","Tier 3")),"")</f>
        <v>Tier 1</v>
      </c>
      <c r="O383" t="s">
        <v>851</v>
      </c>
    </row>
    <row r="384" spans="1:16" x14ac:dyDescent="0.25">
      <c r="A384" t="s">
        <v>1133</v>
      </c>
      <c r="B384" t="s">
        <v>21</v>
      </c>
      <c r="C384" t="s">
        <v>1137</v>
      </c>
      <c r="D384" t="s">
        <v>1138</v>
      </c>
      <c r="E384" s="2">
        <v>4323</v>
      </c>
      <c r="F384" s="3">
        <v>37</v>
      </c>
      <c r="G384" s="4">
        <v>0.41</v>
      </c>
      <c r="H384" s="5">
        <v>1.35</v>
      </c>
      <c r="I384" t="s">
        <v>58</v>
      </c>
      <c r="J384">
        <v>1.5</v>
      </c>
      <c r="K384">
        <v>1.3</v>
      </c>
      <c r="L384">
        <v>1.2</v>
      </c>
      <c r="M384" s="4">
        <f>IF(E384&lt;&gt;"",IF(F384&lt;&gt;"",(E384/(F384+1))*J384*K384*L384,""),"")</f>
        <v>266.20578947368421</v>
      </c>
      <c r="N384" t="str">
        <f>IF(M384&lt;&gt;"",IF(M384&gt;150,"Tier 1",IF(M384&gt;50,"Tier 2","Tier 3")),"")</f>
        <v>Tier 1</v>
      </c>
      <c r="O384" t="s">
        <v>1139</v>
      </c>
    </row>
    <row r="385" spans="1:16" x14ac:dyDescent="0.25">
      <c r="A385" t="s">
        <v>1069</v>
      </c>
      <c r="B385" t="s">
        <v>29</v>
      </c>
      <c r="C385" t="s">
        <v>1077</v>
      </c>
      <c r="D385" t="s">
        <v>1078</v>
      </c>
      <c r="E385" s="2">
        <v>5014</v>
      </c>
      <c r="F385" s="3">
        <v>36</v>
      </c>
      <c r="G385" s="4">
        <v>0.41</v>
      </c>
      <c r="H385" s="5">
        <v>1.66</v>
      </c>
      <c r="I385" t="s">
        <v>58</v>
      </c>
      <c r="J385">
        <v>1.5</v>
      </c>
      <c r="K385">
        <v>1.3</v>
      </c>
      <c r="L385">
        <v>1</v>
      </c>
      <c r="M385" s="4">
        <f>IF(E385&lt;&gt;"",IF(F385&lt;&gt;"",(E385/(F385+1))*J385*K385*L385,""),"")</f>
        <v>264.25135135135133</v>
      </c>
      <c r="N385" t="str">
        <f>IF(M385&lt;&gt;"",IF(M385&gt;150,"Tier 1",IF(M385&gt;50,"Tier 2","Tier 3")),"")</f>
        <v>Tier 1</v>
      </c>
      <c r="O385" t="s">
        <v>1079</v>
      </c>
    </row>
    <row r="386" spans="1:16" x14ac:dyDescent="0.25">
      <c r="A386" t="s">
        <v>583</v>
      </c>
      <c r="B386" t="s">
        <v>25</v>
      </c>
      <c r="C386" t="s">
        <v>584</v>
      </c>
      <c r="D386" t="s">
        <v>585</v>
      </c>
      <c r="E386" s="2">
        <v>4265</v>
      </c>
      <c r="F386" s="3">
        <v>38</v>
      </c>
      <c r="G386" s="4">
        <v>0.41</v>
      </c>
      <c r="H386" s="5">
        <v>1.24</v>
      </c>
      <c r="I386" t="s">
        <v>58</v>
      </c>
      <c r="J386">
        <v>1.5</v>
      </c>
      <c r="K386">
        <v>1.3</v>
      </c>
      <c r="L386">
        <v>1.2</v>
      </c>
      <c r="M386" s="4">
        <f>IF(E386&lt;&gt;"",IF(F386&lt;&gt;"",(E386/(F386+1))*J386*K386*L386,""),"")</f>
        <v>255.90000000000003</v>
      </c>
      <c r="N386" t="str">
        <f>IF(M386&lt;&gt;"",IF(M386&gt;150,"Tier 1",IF(M386&gt;50,"Tier 2","Tier 3")),"")</f>
        <v>Tier 1</v>
      </c>
      <c r="O386" t="s">
        <v>590</v>
      </c>
    </row>
    <row r="387" spans="1:16" x14ac:dyDescent="0.25">
      <c r="A387" t="s">
        <v>357</v>
      </c>
      <c r="B387" t="s">
        <v>60</v>
      </c>
      <c r="C387" t="s">
        <v>388</v>
      </c>
      <c r="D387" t="s">
        <v>389</v>
      </c>
      <c r="E387" s="2">
        <v>8350</v>
      </c>
      <c r="F387" s="3">
        <v>42</v>
      </c>
      <c r="G387" s="4">
        <v>0.41</v>
      </c>
      <c r="H387" s="5">
        <v>1.02</v>
      </c>
      <c r="I387" t="s">
        <v>19</v>
      </c>
      <c r="J387">
        <v>1.5</v>
      </c>
      <c r="K387">
        <v>1</v>
      </c>
      <c r="L387">
        <v>0.8</v>
      </c>
      <c r="M387" s="4">
        <f>IF(E387&lt;&gt;"",IF(F387&lt;&gt;"",(E387/(F387+1))*J387*K387*L387,""),"")</f>
        <v>233.02325581395348</v>
      </c>
      <c r="N387" t="str">
        <f>IF(M387&lt;&gt;"",IF(M387&gt;150,"Tier 1",IF(M387&gt;50,"Tier 2","Tier 3")),"")</f>
        <v>Tier 1</v>
      </c>
      <c r="O387" t="s">
        <v>390</v>
      </c>
    </row>
    <row r="388" spans="1:16" x14ac:dyDescent="0.25">
      <c r="A388" t="s">
        <v>583</v>
      </c>
      <c r="B388" t="s">
        <v>33</v>
      </c>
      <c r="C388" t="s">
        <v>587</v>
      </c>
      <c r="D388" t="s">
        <v>588</v>
      </c>
      <c r="E388" s="2">
        <v>4143</v>
      </c>
      <c r="F388" s="3">
        <v>37</v>
      </c>
      <c r="G388" s="4">
        <v>0.41</v>
      </c>
      <c r="H388" s="5">
        <v>1.1200000000000001</v>
      </c>
      <c r="I388" t="s">
        <v>19</v>
      </c>
      <c r="J388">
        <v>1.5</v>
      </c>
      <c r="K388">
        <v>1</v>
      </c>
      <c r="L388">
        <v>1.2</v>
      </c>
      <c r="M388" s="4">
        <f>IF(E388&lt;&gt;"",IF(F388&lt;&gt;"",(E388/(F388+1))*J388*K388*L388,""),"")</f>
        <v>196.24736842105261</v>
      </c>
      <c r="N388" t="str">
        <f>IF(M388&lt;&gt;"",IF(M388&gt;150,"Tier 1",IF(M388&gt;50,"Tier 2","Tier 3")),"")</f>
        <v>Tier 1</v>
      </c>
      <c r="O388" t="s">
        <v>594</v>
      </c>
    </row>
    <row r="389" spans="1:16" x14ac:dyDescent="0.25">
      <c r="A389" t="s">
        <v>1069</v>
      </c>
      <c r="B389" t="s">
        <v>35</v>
      </c>
      <c r="C389" t="s">
        <v>1081</v>
      </c>
      <c r="D389" t="s">
        <v>1082</v>
      </c>
      <c r="E389" s="2">
        <v>5181</v>
      </c>
      <c r="F389" s="3">
        <v>41</v>
      </c>
      <c r="G389" s="4">
        <v>0.41</v>
      </c>
      <c r="H389" s="5">
        <v>1.06</v>
      </c>
      <c r="I389" t="s">
        <v>19</v>
      </c>
      <c r="J389">
        <v>1.5</v>
      </c>
      <c r="K389">
        <v>1</v>
      </c>
      <c r="L389">
        <v>1</v>
      </c>
      <c r="M389" s="4">
        <f>IF(E389&lt;&gt;"",IF(F389&lt;&gt;"",(E389/(F389+1))*J389*K389*L389,""),"")</f>
        <v>185.03571428571428</v>
      </c>
      <c r="N389" t="str">
        <f>IF(M389&lt;&gt;"",IF(M389&gt;150,"Tier 1",IF(M389&gt;50,"Tier 2","Tier 3")),"")</f>
        <v>Tier 1</v>
      </c>
      <c r="O389" t="s">
        <v>1083</v>
      </c>
    </row>
    <row r="390" spans="1:16" x14ac:dyDescent="0.25">
      <c r="A390" t="s">
        <v>423</v>
      </c>
      <c r="B390" t="s">
        <v>21</v>
      </c>
      <c r="C390" t="s">
        <v>427</v>
      </c>
      <c r="D390" t="s">
        <v>428</v>
      </c>
      <c r="E390" s="2">
        <v>5074</v>
      </c>
      <c r="F390" s="3">
        <v>35</v>
      </c>
      <c r="G390" s="4">
        <v>0.41</v>
      </c>
      <c r="H390" s="5">
        <v>0.97</v>
      </c>
      <c r="I390" t="s">
        <v>19</v>
      </c>
      <c r="J390">
        <v>1</v>
      </c>
      <c r="K390">
        <v>1</v>
      </c>
      <c r="L390">
        <v>1.2</v>
      </c>
      <c r="M390" s="4">
        <f>IF(E390&lt;&gt;"",IF(F390&lt;&gt;"",(E390/(F390+1))*J390*K390*L390,""),"")</f>
        <v>169.13333333333335</v>
      </c>
      <c r="N390" t="str">
        <f>IF(M390&lt;&gt;"",IF(M390&gt;150,"Tier 1",IF(M390&gt;50,"Tier 2","Tier 3")),"")</f>
        <v>Tier 1</v>
      </c>
      <c r="O390" t="s">
        <v>429</v>
      </c>
    </row>
    <row r="391" spans="1:16" x14ac:dyDescent="0.25">
      <c r="A391" t="s">
        <v>839</v>
      </c>
      <c r="B391" t="s">
        <v>60</v>
      </c>
      <c r="C391" t="s">
        <v>870</v>
      </c>
      <c r="D391" t="s">
        <v>871</v>
      </c>
      <c r="E391" s="2">
        <v>8390</v>
      </c>
      <c r="F391" s="3">
        <v>39</v>
      </c>
      <c r="G391" s="4">
        <v>0.41</v>
      </c>
      <c r="H391" s="5">
        <v>0.28999999999999998</v>
      </c>
      <c r="I391" t="s">
        <v>19</v>
      </c>
      <c r="J391">
        <v>1</v>
      </c>
      <c r="K391">
        <v>1</v>
      </c>
      <c r="L391">
        <v>0.8</v>
      </c>
      <c r="M391" s="4">
        <f>IF(E391&lt;&gt;"",IF(F391&lt;&gt;"",(E391/(F391+1))*J391*K391*L391,""),"")</f>
        <v>167.8</v>
      </c>
      <c r="N391" t="str">
        <f>IF(M391&lt;&gt;"",IF(M391&gt;150,"Tier 1",IF(M391&gt;50,"Tier 2","Tier 3")),"")</f>
        <v>Tier 1</v>
      </c>
      <c r="O391" t="s">
        <v>872</v>
      </c>
    </row>
    <row r="392" spans="1:16" x14ac:dyDescent="0.25">
      <c r="A392" t="s">
        <v>129</v>
      </c>
      <c r="B392" t="s">
        <v>55</v>
      </c>
      <c r="C392" t="s">
        <v>157</v>
      </c>
      <c r="D392" t="s">
        <v>158</v>
      </c>
      <c r="E392" s="2">
        <v>3906</v>
      </c>
      <c r="F392" s="3">
        <v>45</v>
      </c>
      <c r="G392" s="4">
        <v>0.41</v>
      </c>
      <c r="H392" s="5">
        <v>1.53</v>
      </c>
      <c r="I392" t="s">
        <v>58</v>
      </c>
      <c r="J392">
        <v>1.5</v>
      </c>
      <c r="K392">
        <v>1.3</v>
      </c>
      <c r="L392">
        <v>0.8</v>
      </c>
      <c r="M392" s="4">
        <f>IF(E392&lt;&gt;"",IF(F392&lt;&gt;"",(E392/(F392+1))*J392*K392*L392,""),"")</f>
        <v>132.46434782608696</v>
      </c>
      <c r="N392" t="str">
        <f>IF(M392&lt;&gt;"",IF(M392&gt;150,"Tier 1",IF(M392&gt;50,"Tier 2","Tier 3")),"")</f>
        <v>Tier 2</v>
      </c>
      <c r="O392" t="s">
        <v>159</v>
      </c>
    </row>
    <row r="393" spans="1:16" x14ac:dyDescent="0.25">
      <c r="A393" t="s">
        <v>357</v>
      </c>
      <c r="B393" t="s">
        <v>55</v>
      </c>
      <c r="C393" t="s">
        <v>385</v>
      </c>
      <c r="D393" t="s">
        <v>386</v>
      </c>
      <c r="E393" s="2">
        <v>2767</v>
      </c>
      <c r="F393" s="3">
        <v>41</v>
      </c>
      <c r="G393" s="4">
        <v>0.41</v>
      </c>
      <c r="H393" s="5">
        <v>1.76</v>
      </c>
      <c r="I393" t="s">
        <v>58</v>
      </c>
      <c r="J393">
        <v>1.5</v>
      </c>
      <c r="K393">
        <v>1.3</v>
      </c>
      <c r="L393">
        <v>0.8</v>
      </c>
      <c r="M393" s="4">
        <f>IF(E393&lt;&gt;"",IF(F393&lt;&gt;"",(E393/(F393+1))*J393*K393*L393,""),"")</f>
        <v>102.77428571428572</v>
      </c>
      <c r="N393" t="str">
        <f>IF(M393&lt;&gt;"",IF(M393&gt;150,"Tier 1",IF(M393&gt;50,"Tier 2","Tier 3")),"")</f>
        <v>Tier 2</v>
      </c>
      <c r="O393" t="s">
        <v>387</v>
      </c>
    </row>
    <row r="394" spans="1:16" x14ac:dyDescent="0.25">
      <c r="A394" t="s">
        <v>487</v>
      </c>
      <c r="B394" t="s">
        <v>60</v>
      </c>
      <c r="C394" t="s">
        <v>516</v>
      </c>
      <c r="D394" t="s">
        <v>517</v>
      </c>
      <c r="E394" s="2">
        <v>3357</v>
      </c>
      <c r="F394" s="3">
        <v>34</v>
      </c>
      <c r="G394" s="4">
        <v>0.41</v>
      </c>
      <c r="H394" s="5">
        <v>0.97</v>
      </c>
      <c r="I394" t="s">
        <v>19</v>
      </c>
      <c r="J394">
        <v>1</v>
      </c>
      <c r="K394">
        <v>1</v>
      </c>
      <c r="L394">
        <v>0.8</v>
      </c>
      <c r="M394" s="4">
        <f>IF(E394&lt;&gt;"",IF(F394&lt;&gt;"",(E394/(F394+1))*J394*K394*L394,""),"")</f>
        <v>76.731428571428566</v>
      </c>
      <c r="N394" t="str">
        <f>IF(M394&lt;&gt;"",IF(M394&gt;150,"Tier 1",IF(M394&gt;50,"Tier 2","Tier 3")),"")</f>
        <v>Tier 2</v>
      </c>
      <c r="O394" t="s">
        <v>518</v>
      </c>
    </row>
    <row r="395" spans="1:16" x14ac:dyDescent="0.25">
      <c r="A395" t="s">
        <v>15</v>
      </c>
      <c r="B395" t="s">
        <v>21</v>
      </c>
      <c r="C395" t="s">
        <v>22</v>
      </c>
      <c r="D395" t="s">
        <v>23</v>
      </c>
      <c r="E395" s="2">
        <v>14268</v>
      </c>
      <c r="F395" s="3">
        <v>36</v>
      </c>
      <c r="G395" s="4">
        <v>0.42</v>
      </c>
      <c r="H395" s="5">
        <v>0.33</v>
      </c>
      <c r="I395" t="s">
        <v>19</v>
      </c>
      <c r="J395">
        <v>1</v>
      </c>
      <c r="K395">
        <v>1</v>
      </c>
      <c r="L395">
        <v>1.2</v>
      </c>
      <c r="M395" s="4">
        <f>IF(E395&lt;&gt;"",IF(F395&lt;&gt;"",(E395/(F395+1))*J395*K395*L395,""),"")</f>
        <v>462.74594594594589</v>
      </c>
      <c r="N395" t="str">
        <f>IF(M395&lt;&gt;"",IF(M395&gt;150,"Tier 1",IF(M395&gt;50,"Tier 2","Tier 3")),"")</f>
        <v>Tier 1</v>
      </c>
      <c r="O395" t="s">
        <v>24</v>
      </c>
    </row>
    <row r="396" spans="1:16" x14ac:dyDescent="0.25">
      <c r="A396" t="s">
        <v>391</v>
      </c>
      <c r="B396" t="s">
        <v>29</v>
      </c>
      <c r="C396" t="s">
        <v>399</v>
      </c>
      <c r="D396" t="s">
        <v>400</v>
      </c>
      <c r="E396" s="2">
        <v>2790</v>
      </c>
      <c r="F396" s="3">
        <v>36</v>
      </c>
      <c r="G396" s="4">
        <v>0.42</v>
      </c>
      <c r="H396" s="5">
        <v>1.35</v>
      </c>
      <c r="I396" t="s">
        <v>19</v>
      </c>
      <c r="J396">
        <v>1.5</v>
      </c>
      <c r="K396">
        <v>1</v>
      </c>
      <c r="L396">
        <v>1</v>
      </c>
      <c r="M396" s="4">
        <f>IF(E396&lt;&gt;"",IF(F396&lt;&gt;"",(E396/(F396+1))*J396*K396*L396,""),"")</f>
        <v>113.1081081081081</v>
      </c>
      <c r="N396" t="str">
        <f>IF(M396&lt;&gt;"",IF(M396&gt;150,"Tier 1",IF(M396&gt;50,"Tier 2","Tier 3")),"")</f>
        <v>Tier 2</v>
      </c>
      <c r="O396" t="s">
        <v>401</v>
      </c>
    </row>
    <row r="397" spans="1:16" x14ac:dyDescent="0.25">
      <c r="A397" t="s">
        <v>711</v>
      </c>
      <c r="B397" t="s">
        <v>29</v>
      </c>
      <c r="C397" t="s">
        <v>719</v>
      </c>
      <c r="D397" t="s">
        <v>720</v>
      </c>
      <c r="E397" s="2">
        <v>2914</v>
      </c>
      <c r="F397" s="3">
        <v>43</v>
      </c>
      <c r="G397" s="4">
        <v>0.42</v>
      </c>
      <c r="H397" s="5">
        <v>1.06</v>
      </c>
      <c r="I397" t="s">
        <v>19</v>
      </c>
      <c r="J397">
        <v>1.5</v>
      </c>
      <c r="K397">
        <v>1</v>
      </c>
      <c r="L397">
        <v>1</v>
      </c>
      <c r="M397" s="4">
        <f>IF(E397&lt;&gt;"",IF(F397&lt;&gt;"",(E397/(F397+1))*J397*K397*L397,""),"")</f>
        <v>99.340909090909093</v>
      </c>
      <c r="N397" t="str">
        <f>IF(M397&lt;&gt;"",IF(M397&gt;150,"Tier 1",IF(M397&gt;50,"Tier 2","Tier 3")),"")</f>
        <v>Tier 2</v>
      </c>
      <c r="O397" t="s">
        <v>721</v>
      </c>
    </row>
    <row r="398" spans="1:16" x14ac:dyDescent="0.25">
      <c r="A398" t="s">
        <v>1005</v>
      </c>
      <c r="B398" t="s">
        <v>39</v>
      </c>
      <c r="C398" t="s">
        <v>1020</v>
      </c>
      <c r="D398" t="s">
        <v>1021</v>
      </c>
      <c r="E398" s="2">
        <v>3612</v>
      </c>
      <c r="F398" s="3">
        <v>40</v>
      </c>
      <c r="G398" s="4">
        <v>0.42</v>
      </c>
      <c r="H398" s="5">
        <v>0.95</v>
      </c>
      <c r="I398" t="s">
        <v>19</v>
      </c>
      <c r="J398">
        <v>1</v>
      </c>
      <c r="K398">
        <v>1</v>
      </c>
      <c r="L398">
        <v>1</v>
      </c>
      <c r="M398" s="4">
        <f>IF(E398&lt;&gt;"",IF(F398&lt;&gt;"",(E398/(F398+1))*J398*K398*L398,""),"")</f>
        <v>88.097560975609753</v>
      </c>
      <c r="N398" t="str">
        <f>IF(M398&lt;&gt;"",IF(M398&gt;150,"Tier 1",IF(M398&gt;50,"Tier 2","Tier 3")),"")</f>
        <v>Tier 2</v>
      </c>
      <c r="O398" t="s">
        <v>1022</v>
      </c>
    </row>
    <row r="399" spans="1:16" x14ac:dyDescent="0.25">
      <c r="A399" t="s">
        <v>357</v>
      </c>
      <c r="B399" t="s">
        <v>21</v>
      </c>
      <c r="C399" t="s">
        <v>361</v>
      </c>
      <c r="D399" t="s">
        <v>362</v>
      </c>
      <c r="E399" s="2">
        <v>18176</v>
      </c>
      <c r="F399" s="3">
        <v>45</v>
      </c>
      <c r="G399" s="4">
        <v>0.43</v>
      </c>
      <c r="H399" s="5">
        <v>1.51</v>
      </c>
      <c r="I399" t="s">
        <v>19</v>
      </c>
      <c r="J399">
        <v>1.5</v>
      </c>
      <c r="K399">
        <v>1</v>
      </c>
      <c r="L399">
        <v>1.2</v>
      </c>
      <c r="M399" s="4">
        <f>IF(E399&lt;&gt;"",IF(F399&lt;&gt;"",(E399/(F399+1))*J399*K399*L399,""),"")</f>
        <v>711.23478260869558</v>
      </c>
      <c r="N399" t="str">
        <f>IF(M399&lt;&gt;"",IF(M399&gt;150,"Tier 1",IF(M399&gt;50,"Tier 2","Tier 3")),"")</f>
        <v>Tier 1</v>
      </c>
      <c r="O399" t="s">
        <v>363</v>
      </c>
      <c r="P399" s="7"/>
    </row>
    <row r="400" spans="1:16" x14ac:dyDescent="0.25">
      <c r="A400" t="s">
        <v>357</v>
      </c>
      <c r="B400" t="s">
        <v>43</v>
      </c>
      <c r="C400" t="s">
        <v>377</v>
      </c>
      <c r="D400" t="s">
        <v>378</v>
      </c>
      <c r="E400" s="2">
        <v>6125</v>
      </c>
      <c r="F400" s="3">
        <v>45</v>
      </c>
      <c r="G400" s="4">
        <v>0.43</v>
      </c>
      <c r="H400" s="5">
        <v>1.03</v>
      </c>
      <c r="I400" t="s">
        <v>58</v>
      </c>
      <c r="J400">
        <v>1.5</v>
      </c>
      <c r="K400">
        <v>1.3</v>
      </c>
      <c r="L400">
        <v>1</v>
      </c>
      <c r="M400" s="4">
        <f>IF(E400&lt;&gt;"",IF(F400&lt;&gt;"",(E400/(F400+1))*J400*K400*L400,""),"")</f>
        <v>259.64673913043475</v>
      </c>
      <c r="N400" t="str">
        <f>IF(M400&lt;&gt;"",IF(M400&gt;150,"Tier 1",IF(M400&gt;50,"Tier 2","Tier 3")),"")</f>
        <v>Tier 1</v>
      </c>
      <c r="O400" t="s">
        <v>379</v>
      </c>
    </row>
    <row r="401" spans="1:17" x14ac:dyDescent="0.25">
      <c r="A401" t="s">
        <v>1005</v>
      </c>
      <c r="B401" t="s">
        <v>25</v>
      </c>
      <c r="C401" t="s">
        <v>1006</v>
      </c>
      <c r="D401" t="s">
        <v>1007</v>
      </c>
      <c r="E401" s="2">
        <v>5517</v>
      </c>
      <c r="F401" s="3">
        <v>40</v>
      </c>
      <c r="G401" s="4">
        <v>0.43</v>
      </c>
      <c r="H401" s="5">
        <v>1.08</v>
      </c>
      <c r="I401" t="s">
        <v>19</v>
      </c>
      <c r="J401">
        <v>1.5</v>
      </c>
      <c r="K401">
        <v>1</v>
      </c>
      <c r="L401">
        <v>1.2</v>
      </c>
      <c r="M401" s="4">
        <f>IF(E401&lt;&gt;"",IF(F401&lt;&gt;"",(E401/(F401+1))*J401*K401*L401,""),"")</f>
        <v>242.20975609756096</v>
      </c>
      <c r="N401" t="str">
        <f>IF(M401&lt;&gt;"",IF(M401&gt;150,"Tier 1",IF(M401&gt;50,"Tier 2","Tier 3")),"")</f>
        <v>Tier 1</v>
      </c>
      <c r="O401" t="s">
        <v>1012</v>
      </c>
    </row>
    <row r="402" spans="1:17" x14ac:dyDescent="0.25">
      <c r="A402" t="s">
        <v>775</v>
      </c>
      <c r="B402" t="s">
        <v>29</v>
      </c>
      <c r="C402" t="s">
        <v>783</v>
      </c>
      <c r="D402" t="s">
        <v>784</v>
      </c>
      <c r="E402" s="2">
        <v>5831</v>
      </c>
      <c r="F402" s="3">
        <v>36</v>
      </c>
      <c r="G402" s="4">
        <v>0.43</v>
      </c>
      <c r="H402" s="5">
        <v>1.1200000000000001</v>
      </c>
      <c r="I402" t="s">
        <v>19</v>
      </c>
      <c r="J402">
        <v>1.5</v>
      </c>
      <c r="K402">
        <v>1</v>
      </c>
      <c r="L402">
        <v>1</v>
      </c>
      <c r="M402" s="4">
        <f>IF(E402&lt;&gt;"",IF(F402&lt;&gt;"",(E402/(F402+1))*J402*K402*L402,""),"")</f>
        <v>236.39189189189187</v>
      </c>
      <c r="N402" t="str">
        <f>IF(M402&lt;&gt;"",IF(M402&gt;150,"Tier 1",IF(M402&gt;50,"Tier 2","Tier 3")),"")</f>
        <v>Tier 1</v>
      </c>
      <c r="O402" t="s">
        <v>785</v>
      </c>
    </row>
    <row r="403" spans="1:17" x14ac:dyDescent="0.25">
      <c r="A403" t="s">
        <v>423</v>
      </c>
      <c r="B403" t="s">
        <v>43</v>
      </c>
      <c r="C403" t="s">
        <v>441</v>
      </c>
      <c r="D403" t="s">
        <v>442</v>
      </c>
      <c r="E403" s="2">
        <v>1743</v>
      </c>
      <c r="F403" s="3">
        <v>38</v>
      </c>
      <c r="G403" s="4">
        <v>0.43</v>
      </c>
      <c r="H403" s="5">
        <v>0.9</v>
      </c>
      <c r="I403" t="s">
        <v>19</v>
      </c>
      <c r="J403">
        <v>1</v>
      </c>
      <c r="K403">
        <v>1</v>
      </c>
      <c r="L403">
        <v>1</v>
      </c>
      <c r="M403" s="4">
        <f>IF(E403&lt;&gt;"",IF(F403&lt;&gt;"",(E403/(F403+1))*J403*K403*L403,""),"")</f>
        <v>44.692307692307693</v>
      </c>
      <c r="N403" t="str">
        <f>IF(M403&lt;&gt;"",IF(M403&gt;150,"Tier 1",IF(M403&gt;50,"Tier 2","Tier 3")),"")</f>
        <v>Tier 3</v>
      </c>
      <c r="O403" t="s">
        <v>443</v>
      </c>
    </row>
    <row r="404" spans="1:17" x14ac:dyDescent="0.25">
      <c r="A404" t="s">
        <v>1069</v>
      </c>
      <c r="B404" t="s">
        <v>21</v>
      </c>
      <c r="C404" t="s">
        <v>1073</v>
      </c>
      <c r="D404" t="s">
        <v>1074</v>
      </c>
      <c r="E404" s="2">
        <v>10508</v>
      </c>
      <c r="F404" s="3">
        <v>41</v>
      </c>
      <c r="G404" s="4">
        <v>0.44</v>
      </c>
      <c r="H404" s="5">
        <v>1.1499999999999999</v>
      </c>
      <c r="I404" t="s">
        <v>19</v>
      </c>
      <c r="J404">
        <v>1.5</v>
      </c>
      <c r="K404">
        <v>1</v>
      </c>
      <c r="L404">
        <v>1.2</v>
      </c>
      <c r="M404" s="4">
        <f>IF(E404&lt;&gt;"",IF(F404&lt;&gt;"",(E404/(F404+1))*J404*K404*L404,""),"")</f>
        <v>450.34285714285721</v>
      </c>
      <c r="N404" t="str">
        <f>IF(M404&lt;&gt;"",IF(M404&gt;150,"Tier 1",IF(M404&gt;50,"Tier 2","Tier 3")),"")</f>
        <v>Tier 1</v>
      </c>
      <c r="O404" t="s">
        <v>1075</v>
      </c>
    </row>
    <row r="405" spans="1:17" x14ac:dyDescent="0.25">
      <c r="A405" t="s">
        <v>775</v>
      </c>
      <c r="B405" t="s">
        <v>43</v>
      </c>
      <c r="C405" t="s">
        <v>793</v>
      </c>
      <c r="D405" t="s">
        <v>794</v>
      </c>
      <c r="E405" s="2">
        <v>4614</v>
      </c>
      <c r="F405" s="3">
        <v>37</v>
      </c>
      <c r="G405" s="4">
        <v>0.44</v>
      </c>
      <c r="H405" s="5">
        <v>1.34</v>
      </c>
      <c r="I405" t="s">
        <v>19</v>
      </c>
      <c r="J405">
        <v>1.5</v>
      </c>
      <c r="K405">
        <v>1</v>
      </c>
      <c r="L405">
        <v>1</v>
      </c>
      <c r="M405" s="4">
        <f>IF(E405&lt;&gt;"",IF(F405&lt;&gt;"",(E405/(F405+1))*J405*K405*L405,""),"")</f>
        <v>182.13157894736841</v>
      </c>
      <c r="N405" t="str">
        <f>IF(M405&lt;&gt;"",IF(M405&gt;150,"Tier 1",IF(M405&gt;50,"Tier 2","Tier 3")),"")</f>
        <v>Tier 1</v>
      </c>
      <c r="O405" t="s">
        <v>795</v>
      </c>
    </row>
    <row r="406" spans="1:17" x14ac:dyDescent="0.25">
      <c r="A406" t="s">
        <v>163</v>
      </c>
      <c r="B406" t="s">
        <v>39</v>
      </c>
      <c r="C406" t="s">
        <v>180</v>
      </c>
      <c r="D406" t="s">
        <v>181</v>
      </c>
      <c r="E406" s="2">
        <v>4407</v>
      </c>
      <c r="F406" s="3">
        <v>42</v>
      </c>
      <c r="G406" s="4">
        <v>0.44</v>
      </c>
      <c r="H406" s="5">
        <v>1.17</v>
      </c>
      <c r="I406" t="s">
        <v>63</v>
      </c>
      <c r="J406">
        <v>1.5</v>
      </c>
      <c r="K406">
        <v>0.8</v>
      </c>
      <c r="L406">
        <v>1</v>
      </c>
      <c r="M406" s="4">
        <f>IF(E406&lt;&gt;"",IF(F406&lt;&gt;"",(E406/(F406+1))*J406*K406*L406,""),"")</f>
        <v>122.98604651162792</v>
      </c>
      <c r="N406" t="str">
        <f>IF(M406&lt;&gt;"",IF(M406&gt;150,"Tier 1",IF(M406&gt;50,"Tier 2","Tier 3")),"")</f>
        <v>Tier 2</v>
      </c>
      <c r="O406" t="s">
        <v>182</v>
      </c>
    </row>
    <row r="407" spans="1:17" x14ac:dyDescent="0.25">
      <c r="A407" t="s">
        <v>1133</v>
      </c>
      <c r="B407" t="s">
        <v>29</v>
      </c>
      <c r="C407" t="s">
        <v>1141</v>
      </c>
      <c r="D407" t="s">
        <v>1142</v>
      </c>
      <c r="E407" s="2">
        <v>1935</v>
      </c>
      <c r="F407" s="3">
        <v>37</v>
      </c>
      <c r="G407" s="4">
        <v>0.44</v>
      </c>
      <c r="H407" s="5">
        <v>1.1000000000000001</v>
      </c>
      <c r="I407" t="s">
        <v>58</v>
      </c>
      <c r="J407">
        <v>1.5</v>
      </c>
      <c r="K407">
        <v>1.3</v>
      </c>
      <c r="L407">
        <v>1</v>
      </c>
      <c r="M407" s="4">
        <f>IF(E407&lt;&gt;"",IF(F407&lt;&gt;"",(E407/(F407+1))*J407*K407*L407,""),"")</f>
        <v>99.296052631578931</v>
      </c>
      <c r="N407" t="str">
        <f>IF(M407&lt;&gt;"",IF(M407&gt;150,"Tier 1",IF(M407&gt;50,"Tier 2","Tier 3")),"")</f>
        <v>Tier 2</v>
      </c>
      <c r="O407" t="s">
        <v>1143</v>
      </c>
    </row>
    <row r="408" spans="1:17" x14ac:dyDescent="0.25">
      <c r="A408" t="s">
        <v>905</v>
      </c>
      <c r="B408" t="s">
        <v>55</v>
      </c>
      <c r="C408" t="s">
        <v>935</v>
      </c>
      <c r="D408" t="s">
        <v>936</v>
      </c>
      <c r="E408" s="2">
        <v>2854</v>
      </c>
      <c r="F408" s="3">
        <v>37</v>
      </c>
      <c r="G408" s="4">
        <v>0.44</v>
      </c>
      <c r="H408" s="5">
        <v>1.37</v>
      </c>
      <c r="I408" t="s">
        <v>63</v>
      </c>
      <c r="J408">
        <v>1.5</v>
      </c>
      <c r="K408">
        <v>0.8</v>
      </c>
      <c r="L408">
        <v>0.8</v>
      </c>
      <c r="M408" s="4">
        <f>IF(E408&lt;&gt;"",IF(F408&lt;&gt;"",(E408/(F408+1))*J408*K408*L408,""),"")</f>
        <v>72.101052631578952</v>
      </c>
      <c r="N408" t="str">
        <f>IF(M408&lt;&gt;"",IF(M408&gt;150,"Tier 1",IF(M408&gt;50,"Tier 2","Tier 3")),"")</f>
        <v>Tier 2</v>
      </c>
      <c r="O408" t="s">
        <v>937</v>
      </c>
    </row>
    <row r="409" spans="1:17" x14ac:dyDescent="0.25">
      <c r="A409" t="s">
        <v>391</v>
      </c>
      <c r="B409" t="s">
        <v>60</v>
      </c>
      <c r="C409" t="s">
        <v>420</v>
      </c>
      <c r="D409" t="s">
        <v>421</v>
      </c>
      <c r="E409" s="2">
        <v>2505</v>
      </c>
      <c r="F409" s="3">
        <v>37</v>
      </c>
      <c r="G409" s="4">
        <v>0.44</v>
      </c>
      <c r="H409" s="5">
        <v>0.87</v>
      </c>
      <c r="I409" t="s">
        <v>19</v>
      </c>
      <c r="J409">
        <v>1</v>
      </c>
      <c r="K409">
        <v>1</v>
      </c>
      <c r="L409">
        <v>0.8</v>
      </c>
      <c r="M409" s="4">
        <f>IF(E409&lt;&gt;"",IF(F409&lt;&gt;"",(E409/(F409+1))*J409*K409*L409,""),"")</f>
        <v>52.736842105263158</v>
      </c>
      <c r="N409" t="str">
        <f>IF(M409&lt;&gt;"",IF(M409&gt;150,"Tier 1",IF(M409&gt;50,"Tier 2","Tier 3")),"")</f>
        <v>Tier 2</v>
      </c>
      <c r="O409" t="s">
        <v>422</v>
      </c>
    </row>
    <row r="410" spans="1:17" x14ac:dyDescent="0.25">
      <c r="A410" t="s">
        <v>129</v>
      </c>
      <c r="B410" t="s">
        <v>16</v>
      </c>
      <c r="C410" t="s">
        <v>130</v>
      </c>
      <c r="D410" t="s">
        <v>131</v>
      </c>
      <c r="E410" s="2">
        <v>15666</v>
      </c>
      <c r="F410" s="3">
        <v>42</v>
      </c>
      <c r="G410" s="4">
        <v>0.45</v>
      </c>
      <c r="H410" s="5">
        <v>1.0900000000000001</v>
      </c>
      <c r="I410" t="s">
        <v>19</v>
      </c>
      <c r="J410">
        <v>1.5</v>
      </c>
      <c r="K410">
        <v>1</v>
      </c>
      <c r="L410">
        <v>1.2</v>
      </c>
      <c r="M410" s="4">
        <f>IF(E410&lt;&gt;"",IF(F410&lt;&gt;"",(E410/(F410+1))*J410*K410*L410,""),"")</f>
        <v>655.78604651162789</v>
      </c>
      <c r="N410" t="str">
        <f>IF(M410&lt;&gt;"",IF(M410&gt;150,"Tier 1",IF(M410&gt;50,"Tier 2","Tier 3")),"")</f>
        <v>Tier 1</v>
      </c>
      <c r="O410" t="s">
        <v>132</v>
      </c>
      <c r="P410" t="s">
        <v>1197</v>
      </c>
      <c r="Q410" t="s">
        <v>1197</v>
      </c>
    </row>
    <row r="411" spans="1:17" x14ac:dyDescent="0.25">
      <c r="A411" t="s">
        <v>357</v>
      </c>
      <c r="B411" t="s">
        <v>29</v>
      </c>
      <c r="C411" t="s">
        <v>366</v>
      </c>
      <c r="D411" t="s">
        <v>367</v>
      </c>
      <c r="E411" s="2">
        <v>10057</v>
      </c>
      <c r="F411" s="3">
        <v>42</v>
      </c>
      <c r="G411" s="4">
        <v>0.45</v>
      </c>
      <c r="H411" s="5">
        <v>1.44</v>
      </c>
      <c r="I411" t="s">
        <v>58</v>
      </c>
      <c r="J411">
        <v>1.5</v>
      </c>
      <c r="K411">
        <v>1.3</v>
      </c>
      <c r="L411">
        <v>1</v>
      </c>
      <c r="M411" s="4">
        <f>IF(E411&lt;&gt;"",IF(F411&lt;&gt;"",(E411/(F411+1))*J411*K411*L411,""),"")</f>
        <v>456.07325581395349</v>
      </c>
      <c r="N411" t="str">
        <f>IF(M411&lt;&gt;"",IF(M411&gt;150,"Tier 1",IF(M411&gt;50,"Tier 2","Tier 3")),"")</f>
        <v>Tier 1</v>
      </c>
      <c r="O411" t="s">
        <v>368</v>
      </c>
      <c r="P411" s="7"/>
    </row>
    <row r="412" spans="1:17" x14ac:dyDescent="0.25">
      <c r="A412" t="s">
        <v>229</v>
      </c>
      <c r="B412" t="s">
        <v>21</v>
      </c>
      <c r="C412" t="s">
        <v>233</v>
      </c>
      <c r="D412" t="s">
        <v>234</v>
      </c>
      <c r="E412" s="2">
        <v>10004</v>
      </c>
      <c r="F412" s="3">
        <v>46</v>
      </c>
      <c r="G412" s="4">
        <v>0.45</v>
      </c>
      <c r="H412" s="5">
        <v>1.32</v>
      </c>
      <c r="I412" t="s">
        <v>63</v>
      </c>
      <c r="J412">
        <v>1.5</v>
      </c>
      <c r="K412">
        <v>0.8</v>
      </c>
      <c r="L412">
        <v>1.2</v>
      </c>
      <c r="M412" s="4">
        <f>IF(E412&lt;&gt;"",IF(F412&lt;&gt;"",(E412/(F412+1))*J412*K412*L412,""),"")</f>
        <v>306.5055319148936</v>
      </c>
      <c r="N412" t="str">
        <f>IF(M412&lt;&gt;"",IF(M412&gt;150,"Tier 1",IF(M412&gt;50,"Tier 2","Tier 3")),"")</f>
        <v>Tier 1</v>
      </c>
      <c r="O412" t="s">
        <v>235</v>
      </c>
    </row>
    <row r="413" spans="1:17" x14ac:dyDescent="0.25">
      <c r="A413" t="s">
        <v>163</v>
      </c>
      <c r="B413" t="s">
        <v>16</v>
      </c>
      <c r="C413" t="s">
        <v>164</v>
      </c>
      <c r="D413" t="s">
        <v>165</v>
      </c>
      <c r="E413" s="2">
        <v>9638</v>
      </c>
      <c r="F413" s="3">
        <v>41</v>
      </c>
      <c r="G413" s="4">
        <v>0.45</v>
      </c>
      <c r="H413" s="5">
        <v>0.85</v>
      </c>
      <c r="I413" t="s">
        <v>19</v>
      </c>
      <c r="J413">
        <v>1</v>
      </c>
      <c r="K413">
        <v>1</v>
      </c>
      <c r="L413">
        <v>1.2</v>
      </c>
      <c r="M413" s="4">
        <f>IF(E413&lt;&gt;"",IF(F413&lt;&gt;"",(E413/(F413+1))*J413*K413*L413,""),"")</f>
        <v>275.37142857142857</v>
      </c>
      <c r="N413" t="str">
        <f>IF(M413&lt;&gt;"",IF(M413&gt;150,"Tier 1",IF(M413&gt;50,"Tier 2","Tier 3")),"")</f>
        <v>Tier 1</v>
      </c>
      <c r="O413" t="s">
        <v>166</v>
      </c>
    </row>
    <row r="414" spans="1:17" x14ac:dyDescent="0.25">
      <c r="A414" t="s">
        <v>711</v>
      </c>
      <c r="B414" t="s">
        <v>16</v>
      </c>
      <c r="C414" t="s">
        <v>712</v>
      </c>
      <c r="D414" t="s">
        <v>713</v>
      </c>
      <c r="E414" s="2">
        <v>4363</v>
      </c>
      <c r="F414" s="3">
        <v>42</v>
      </c>
      <c r="G414" s="4">
        <v>0.45</v>
      </c>
      <c r="H414" s="5">
        <v>1.36</v>
      </c>
      <c r="I414" t="s">
        <v>58</v>
      </c>
      <c r="J414">
        <v>1.5</v>
      </c>
      <c r="K414">
        <v>1.3</v>
      </c>
      <c r="L414">
        <v>1.2</v>
      </c>
      <c r="M414" s="4">
        <f>IF(E414&lt;&gt;"",IF(F414&lt;&gt;"",(E414/(F414+1))*J414*K414*L414,""),"")</f>
        <v>237.42837209302323</v>
      </c>
      <c r="N414" t="str">
        <f>IF(M414&lt;&gt;"",IF(M414&gt;150,"Tier 1",IF(M414&gt;50,"Tier 2","Tier 3")),"")</f>
        <v>Tier 1</v>
      </c>
      <c r="O414" t="s">
        <v>714</v>
      </c>
    </row>
    <row r="415" spans="1:17" x14ac:dyDescent="0.25">
      <c r="A415" t="s">
        <v>711</v>
      </c>
      <c r="B415" t="s">
        <v>33</v>
      </c>
      <c r="C415" t="s">
        <v>715</v>
      </c>
      <c r="D415" t="s">
        <v>716</v>
      </c>
      <c r="E415" s="2">
        <v>4190</v>
      </c>
      <c r="F415" s="3">
        <v>40</v>
      </c>
      <c r="G415" s="4">
        <v>0.45</v>
      </c>
      <c r="H415" s="5">
        <v>1.64</v>
      </c>
      <c r="I415" t="s">
        <v>19</v>
      </c>
      <c r="J415">
        <v>1.5</v>
      </c>
      <c r="K415">
        <v>1</v>
      </c>
      <c r="L415">
        <v>1.2</v>
      </c>
      <c r="M415" s="4">
        <f>IF(E415&lt;&gt;"",IF(F415&lt;&gt;"",(E415/(F415+1))*J415*K415*L415,""),"")</f>
        <v>183.95121951219511</v>
      </c>
      <c r="N415" t="str">
        <f>IF(M415&lt;&gt;"",IF(M415&gt;150,"Tier 1",IF(M415&gt;50,"Tier 2","Tier 3")),"")</f>
        <v>Tier 1</v>
      </c>
      <c r="O415" t="s">
        <v>722</v>
      </c>
    </row>
    <row r="416" spans="1:17" x14ac:dyDescent="0.25">
      <c r="A416" t="s">
        <v>711</v>
      </c>
      <c r="B416" t="s">
        <v>21</v>
      </c>
      <c r="C416" t="s">
        <v>715</v>
      </c>
      <c r="D416" t="s">
        <v>716</v>
      </c>
      <c r="E416" s="2">
        <v>5907</v>
      </c>
      <c r="F416" s="3">
        <v>38</v>
      </c>
      <c r="G416" s="4">
        <v>0.45</v>
      </c>
      <c r="H416" s="5">
        <v>1</v>
      </c>
      <c r="I416" t="s">
        <v>19</v>
      </c>
      <c r="J416">
        <v>1</v>
      </c>
      <c r="K416">
        <v>1</v>
      </c>
      <c r="L416">
        <v>1.2</v>
      </c>
      <c r="M416" s="4">
        <f>IF(E416&lt;&gt;"",IF(F416&lt;&gt;"",(E416/(F416+1))*J416*K416*L416,""),"")</f>
        <v>181.75384615384613</v>
      </c>
      <c r="N416" t="str">
        <f>IF(M416&lt;&gt;"",IF(M416&gt;150,"Tier 1",IF(M416&gt;50,"Tier 2","Tier 3")),"")</f>
        <v>Tier 1</v>
      </c>
      <c r="O416" t="s">
        <v>717</v>
      </c>
    </row>
    <row r="417" spans="1:17" x14ac:dyDescent="0.25">
      <c r="A417" t="s">
        <v>1069</v>
      </c>
      <c r="B417" t="s">
        <v>51</v>
      </c>
      <c r="C417" t="s">
        <v>1092</v>
      </c>
      <c r="D417" t="s">
        <v>1093</v>
      </c>
      <c r="E417" s="2">
        <v>2941</v>
      </c>
      <c r="F417" s="3">
        <v>38</v>
      </c>
      <c r="G417" s="4">
        <v>0.45</v>
      </c>
      <c r="H417" s="5">
        <v>1.03</v>
      </c>
      <c r="I417" t="s">
        <v>58</v>
      </c>
      <c r="J417">
        <v>1.5</v>
      </c>
      <c r="K417">
        <v>1.3</v>
      </c>
      <c r="L417">
        <v>0.8</v>
      </c>
      <c r="M417" s="4">
        <f>IF(E417&lt;&gt;"",IF(F417&lt;&gt;"",(E417/(F417+1))*J417*K417*L417,""),"")</f>
        <v>117.64000000000001</v>
      </c>
      <c r="N417" t="str">
        <f>IF(M417&lt;&gt;"",IF(M417&gt;150,"Tier 1",IF(M417&gt;50,"Tier 2","Tier 3")),"")</f>
        <v>Tier 2</v>
      </c>
      <c r="O417" t="s">
        <v>1094</v>
      </c>
    </row>
    <row r="418" spans="1:17" x14ac:dyDescent="0.25">
      <c r="A418" t="s">
        <v>129</v>
      </c>
      <c r="B418" t="s">
        <v>33</v>
      </c>
      <c r="C418" t="s">
        <v>133</v>
      </c>
      <c r="D418" t="s">
        <v>141</v>
      </c>
      <c r="E418" s="2">
        <v>12501</v>
      </c>
      <c r="F418" s="3">
        <v>49</v>
      </c>
      <c r="G418" s="4">
        <v>0.46</v>
      </c>
      <c r="H418" s="5">
        <v>1.68</v>
      </c>
      <c r="I418" t="s">
        <v>19</v>
      </c>
      <c r="J418">
        <v>1.5</v>
      </c>
      <c r="K418">
        <v>1</v>
      </c>
      <c r="L418">
        <v>1.2</v>
      </c>
      <c r="M418" s="4">
        <f>IF(E418&lt;&gt;"",IF(F418&lt;&gt;"",(E418/(F418+1))*J418*K418*L418,""),"")</f>
        <v>450.036</v>
      </c>
      <c r="N418" t="str">
        <f>IF(M418&lt;&gt;"",IF(M418&gt;150,"Tier 1",IF(M418&gt;50,"Tier 2","Tier 3")),"")</f>
        <v>Tier 1</v>
      </c>
      <c r="O418" t="s">
        <v>142</v>
      </c>
    </row>
    <row r="419" spans="1:17" x14ac:dyDescent="0.25">
      <c r="A419" t="s">
        <v>1069</v>
      </c>
      <c r="B419" t="s">
        <v>25</v>
      </c>
      <c r="C419" t="s">
        <v>1070</v>
      </c>
      <c r="D419" t="s">
        <v>1071</v>
      </c>
      <c r="E419" s="2">
        <v>6837</v>
      </c>
      <c r="F419" s="3">
        <v>42</v>
      </c>
      <c r="G419" s="4">
        <v>0.46</v>
      </c>
      <c r="H419" s="5">
        <v>1.1299999999999999</v>
      </c>
      <c r="I419" t="s">
        <v>19</v>
      </c>
      <c r="J419">
        <v>1.5</v>
      </c>
      <c r="K419">
        <v>1</v>
      </c>
      <c r="L419">
        <v>1.2</v>
      </c>
      <c r="M419" s="4">
        <f>IF(E419&lt;&gt;"",IF(F419&lt;&gt;"",(E419/(F419+1))*J419*K419*L419,""),"")</f>
        <v>286.2</v>
      </c>
      <c r="N419" t="str">
        <f>IF(M419&lt;&gt;"",IF(M419&gt;150,"Tier 1",IF(M419&gt;50,"Tier 2","Tier 3")),"")</f>
        <v>Tier 1</v>
      </c>
      <c r="O419" t="s">
        <v>1076</v>
      </c>
    </row>
    <row r="420" spans="1:17" x14ac:dyDescent="0.25">
      <c r="A420" t="s">
        <v>1165</v>
      </c>
      <c r="B420" t="s">
        <v>33</v>
      </c>
      <c r="C420" t="s">
        <v>1169</v>
      </c>
      <c r="D420" t="s">
        <v>1170</v>
      </c>
      <c r="E420" s="2">
        <v>2517</v>
      </c>
      <c r="F420" s="3">
        <v>40</v>
      </c>
      <c r="G420" s="4">
        <v>0.46</v>
      </c>
      <c r="H420" s="5">
        <v>1.37</v>
      </c>
      <c r="I420" t="s">
        <v>58</v>
      </c>
      <c r="J420">
        <v>1.5</v>
      </c>
      <c r="K420">
        <v>1.3</v>
      </c>
      <c r="L420">
        <v>1.2</v>
      </c>
      <c r="M420" s="4">
        <f>IF(E420&lt;&gt;"",IF(F420&lt;&gt;"",(E420/(F420+1))*J420*K420*L420,""),"")</f>
        <v>143.65317073170732</v>
      </c>
      <c r="N420" t="str">
        <f>IF(M420&lt;&gt;"",IF(M420&gt;150,"Tier 1",IF(M420&gt;50,"Tier 2","Tier 3")),"")</f>
        <v>Tier 2</v>
      </c>
      <c r="O420" t="s">
        <v>1176</v>
      </c>
    </row>
    <row r="421" spans="1:17" x14ac:dyDescent="0.25">
      <c r="A421" t="s">
        <v>391</v>
      </c>
      <c r="B421" t="s">
        <v>43</v>
      </c>
      <c r="C421" t="s">
        <v>409</v>
      </c>
      <c r="D421" t="s">
        <v>410</v>
      </c>
      <c r="E421" s="2">
        <v>2133</v>
      </c>
      <c r="F421" s="3">
        <v>39</v>
      </c>
      <c r="G421" s="4">
        <v>0.46</v>
      </c>
      <c r="H421" s="5">
        <v>1.31</v>
      </c>
      <c r="I421" t="s">
        <v>58</v>
      </c>
      <c r="J421">
        <v>1.5</v>
      </c>
      <c r="K421">
        <v>1.3</v>
      </c>
      <c r="L421">
        <v>1</v>
      </c>
      <c r="M421" s="4">
        <f>IF(E421&lt;&gt;"",IF(F421&lt;&gt;"",(E421/(F421+1))*J421*K421*L421,""),"")</f>
        <v>103.98375000000001</v>
      </c>
      <c r="N421" t="str">
        <f>IF(M421&lt;&gt;"",IF(M421&gt;150,"Tier 1",IF(M421&gt;50,"Tier 2","Tier 3")),"")</f>
        <v>Tier 2</v>
      </c>
      <c r="O421" t="s">
        <v>411</v>
      </c>
    </row>
    <row r="422" spans="1:17" x14ac:dyDescent="0.25">
      <c r="A422" t="s">
        <v>905</v>
      </c>
      <c r="B422" t="s">
        <v>16</v>
      </c>
      <c r="C422" t="s">
        <v>906</v>
      </c>
      <c r="D422" t="s">
        <v>907</v>
      </c>
      <c r="E422" s="2">
        <v>12414</v>
      </c>
      <c r="F422" s="3">
        <v>39</v>
      </c>
      <c r="G422" s="4">
        <v>0.47</v>
      </c>
      <c r="H422" s="5">
        <v>0.99</v>
      </c>
      <c r="I422" t="s">
        <v>63</v>
      </c>
      <c r="J422">
        <v>1</v>
      </c>
      <c r="K422">
        <v>0.8</v>
      </c>
      <c r="L422">
        <v>1.2</v>
      </c>
      <c r="M422" s="4">
        <f>IF(E422&lt;&gt;"",IF(F422&lt;&gt;"",(E422/(F422+1))*J422*K422*L422,""),"")</f>
        <v>297.93600000000004</v>
      </c>
      <c r="N422" t="str">
        <f>IF(M422&lt;&gt;"",IF(M422&gt;150,"Tier 1",IF(M422&gt;50,"Tier 2","Tier 3")),"")</f>
        <v>Tier 1</v>
      </c>
      <c r="O422" t="s">
        <v>908</v>
      </c>
    </row>
    <row r="423" spans="1:17" x14ac:dyDescent="0.25">
      <c r="A423" t="s">
        <v>129</v>
      </c>
      <c r="B423" t="s">
        <v>21</v>
      </c>
      <c r="C423" t="s">
        <v>133</v>
      </c>
      <c r="D423" t="s">
        <v>134</v>
      </c>
      <c r="E423" s="2">
        <v>24422</v>
      </c>
      <c r="F423" s="3">
        <v>47</v>
      </c>
      <c r="G423" s="4">
        <v>0.48</v>
      </c>
      <c r="H423" s="5">
        <v>1.1200000000000001</v>
      </c>
      <c r="I423" t="s">
        <v>19</v>
      </c>
      <c r="J423">
        <v>1.5</v>
      </c>
      <c r="K423">
        <v>1</v>
      </c>
      <c r="L423">
        <v>1.2</v>
      </c>
      <c r="M423" s="4">
        <f>IF(E423&lt;&gt;"",IF(F423&lt;&gt;"",(E423/(F423+1))*J423*K423*L423,""),"")</f>
        <v>915.82499999999993</v>
      </c>
      <c r="N423" t="str">
        <f>IF(M423&lt;&gt;"",IF(M423&gt;150,"Tier 1",IF(M423&gt;50,"Tier 2","Tier 3")),"")</f>
        <v>Tier 1</v>
      </c>
      <c r="O423" t="s">
        <v>135</v>
      </c>
      <c r="P423" t="s">
        <v>1197</v>
      </c>
      <c r="Q423" t="s">
        <v>1197</v>
      </c>
    </row>
    <row r="424" spans="1:17" x14ac:dyDescent="0.25">
      <c r="A424" t="s">
        <v>357</v>
      </c>
      <c r="B424" t="s">
        <v>25</v>
      </c>
      <c r="C424" t="s">
        <v>358</v>
      </c>
      <c r="D424" t="s">
        <v>364</v>
      </c>
      <c r="E424" s="2">
        <v>12153</v>
      </c>
      <c r="F424" s="3">
        <v>48</v>
      </c>
      <c r="G424" s="4">
        <v>0.48</v>
      </c>
      <c r="H424" s="5">
        <v>1.43</v>
      </c>
      <c r="I424" t="s">
        <v>19</v>
      </c>
      <c r="J424">
        <v>1.5</v>
      </c>
      <c r="K424">
        <v>1</v>
      </c>
      <c r="L424">
        <v>1.2</v>
      </c>
      <c r="M424" s="4">
        <f>IF(E424&lt;&gt;"",IF(F424&lt;&gt;"",(E424/(F424+1))*J424*K424*L424,""),"")</f>
        <v>446.43673469387755</v>
      </c>
      <c r="N424" t="str">
        <f>IF(M424&lt;&gt;"",IF(M424&gt;150,"Tier 1",IF(M424&gt;50,"Tier 2","Tier 3")),"")</f>
        <v>Tier 1</v>
      </c>
      <c r="O424" t="s">
        <v>365</v>
      </c>
    </row>
    <row r="425" spans="1:17" x14ac:dyDescent="0.25">
      <c r="A425" t="s">
        <v>163</v>
      </c>
      <c r="B425" t="s">
        <v>55</v>
      </c>
      <c r="C425" t="s">
        <v>191</v>
      </c>
      <c r="D425" t="s">
        <v>192</v>
      </c>
      <c r="E425" s="2">
        <v>2069</v>
      </c>
      <c r="F425" s="3">
        <v>41</v>
      </c>
      <c r="G425" s="4">
        <v>0.49</v>
      </c>
      <c r="H425" s="5">
        <v>1.45</v>
      </c>
      <c r="I425" t="s">
        <v>19</v>
      </c>
      <c r="J425">
        <v>1.5</v>
      </c>
      <c r="K425">
        <v>1</v>
      </c>
      <c r="L425">
        <v>0.8</v>
      </c>
      <c r="M425" s="4">
        <f>IF(E425&lt;&gt;"",IF(F425&lt;&gt;"",(E425/(F425+1))*J425*K425*L425,""),"")</f>
        <v>59.114285714285714</v>
      </c>
      <c r="N425" t="str">
        <f>IF(M425&lt;&gt;"",IF(M425&gt;150,"Tier 1",IF(M425&gt;50,"Tier 2","Tier 3")),"")</f>
        <v>Tier 2</v>
      </c>
      <c r="O425" t="s">
        <v>193</v>
      </c>
    </row>
    <row r="426" spans="1:17" x14ac:dyDescent="0.25">
      <c r="A426" t="s">
        <v>229</v>
      </c>
      <c r="B426" t="s">
        <v>43</v>
      </c>
      <c r="C426" t="s">
        <v>247</v>
      </c>
      <c r="D426" t="s">
        <v>248</v>
      </c>
      <c r="E426" s="2">
        <v>2832</v>
      </c>
      <c r="F426" s="3">
        <v>42</v>
      </c>
      <c r="G426" s="4">
        <v>0.5</v>
      </c>
      <c r="H426" s="5">
        <v>1.23</v>
      </c>
      <c r="I426" t="s">
        <v>58</v>
      </c>
      <c r="J426">
        <v>1.5</v>
      </c>
      <c r="K426">
        <v>1.3</v>
      </c>
      <c r="L426">
        <v>1</v>
      </c>
      <c r="M426" s="4">
        <f>IF(E426&lt;&gt;"",IF(F426&lt;&gt;"",(E426/(F426+1))*J426*K426*L426,""),"")</f>
        <v>128.4279069767442</v>
      </c>
      <c r="N426" t="str">
        <f>IF(M426&lt;&gt;"",IF(M426&gt;150,"Tier 1",IF(M426&gt;50,"Tier 2","Tier 3")),"")</f>
        <v>Tier 2</v>
      </c>
      <c r="O426" t="s">
        <v>249</v>
      </c>
    </row>
    <row r="427" spans="1:17" x14ac:dyDescent="0.25">
      <c r="A427" t="s">
        <v>711</v>
      </c>
      <c r="B427" t="s">
        <v>47</v>
      </c>
      <c r="C427" t="s">
        <v>715</v>
      </c>
      <c r="D427" t="s">
        <v>732</v>
      </c>
      <c r="E427" s="2">
        <v>1877</v>
      </c>
      <c r="F427" s="3">
        <v>43</v>
      </c>
      <c r="G427" s="4">
        <v>0.5</v>
      </c>
      <c r="H427" s="5">
        <v>1.02</v>
      </c>
      <c r="I427" t="s">
        <v>58</v>
      </c>
      <c r="J427">
        <v>1.5</v>
      </c>
      <c r="K427">
        <v>1.3</v>
      </c>
      <c r="L427">
        <v>1</v>
      </c>
      <c r="M427" s="4">
        <f>IF(E427&lt;&gt;"",IF(F427&lt;&gt;"",(E427/(F427+1))*J427*K427*L427,""),"")</f>
        <v>83.185227272727275</v>
      </c>
      <c r="N427" t="str">
        <f>IF(M427&lt;&gt;"",IF(M427&gt;150,"Tier 1",IF(M427&gt;50,"Tier 2","Tier 3")),"")</f>
        <v>Tier 2</v>
      </c>
      <c r="O427" t="s">
        <v>733</v>
      </c>
    </row>
    <row r="428" spans="1:17" x14ac:dyDescent="0.25">
      <c r="A428" t="s">
        <v>229</v>
      </c>
      <c r="B428" t="s">
        <v>55</v>
      </c>
      <c r="C428" t="s">
        <v>255</v>
      </c>
      <c r="D428" t="s">
        <v>256</v>
      </c>
      <c r="E428" s="2">
        <v>1469</v>
      </c>
      <c r="F428" s="3">
        <v>43</v>
      </c>
      <c r="G428" s="4">
        <v>0.5</v>
      </c>
      <c r="H428" s="5">
        <v>1.79</v>
      </c>
      <c r="I428" t="s">
        <v>58</v>
      </c>
      <c r="J428">
        <v>1.5</v>
      </c>
      <c r="K428">
        <v>1.3</v>
      </c>
      <c r="L428">
        <v>0.8</v>
      </c>
      <c r="M428" s="4">
        <f>IF(E428&lt;&gt;"",IF(F428&lt;&gt;"",(E428/(F428+1))*J428*K428*L428,""),"")</f>
        <v>52.082727272727283</v>
      </c>
      <c r="N428" t="str">
        <f>IF(M428&lt;&gt;"",IF(M428&gt;150,"Tier 1",IF(M428&gt;50,"Tier 2","Tier 3")),"")</f>
        <v>Tier 2</v>
      </c>
      <c r="O428" t="s">
        <v>257</v>
      </c>
    </row>
    <row r="429" spans="1:17" x14ac:dyDescent="0.25">
      <c r="A429" t="s">
        <v>229</v>
      </c>
      <c r="B429" t="s">
        <v>25</v>
      </c>
      <c r="C429" t="s">
        <v>230</v>
      </c>
      <c r="D429" t="s">
        <v>231</v>
      </c>
      <c r="E429" s="2">
        <v>5251</v>
      </c>
      <c r="F429" s="3">
        <v>46</v>
      </c>
      <c r="G429" s="4">
        <v>0.51</v>
      </c>
      <c r="H429" s="5">
        <v>1.35</v>
      </c>
      <c r="I429" t="s">
        <v>19</v>
      </c>
      <c r="J429">
        <v>1.5</v>
      </c>
      <c r="K429">
        <v>1</v>
      </c>
      <c r="L429">
        <v>1.2</v>
      </c>
      <c r="M429" s="4">
        <f>IF(E429&lt;&gt;"",IF(F429&lt;&gt;"",(E429/(F429+1))*J429*K429*L429,""),"")</f>
        <v>201.10212765957445</v>
      </c>
      <c r="N429" t="str">
        <f>IF(M429&lt;&gt;"",IF(M429&gt;150,"Tier 1",IF(M429&gt;50,"Tier 2","Tier 3")),"")</f>
        <v>Tier 1</v>
      </c>
      <c r="O429" t="s">
        <v>236</v>
      </c>
    </row>
    <row r="430" spans="1:17" x14ac:dyDescent="0.25">
      <c r="A430" t="s">
        <v>357</v>
      </c>
      <c r="B430" t="s">
        <v>35</v>
      </c>
      <c r="C430" t="s">
        <v>371</v>
      </c>
      <c r="D430" t="s">
        <v>372</v>
      </c>
      <c r="E430" s="2">
        <v>8905</v>
      </c>
      <c r="F430" s="3">
        <v>48</v>
      </c>
      <c r="G430" s="4">
        <v>0.52</v>
      </c>
      <c r="H430" s="5">
        <v>1.27</v>
      </c>
      <c r="I430" t="s">
        <v>58</v>
      </c>
      <c r="J430">
        <v>1.5</v>
      </c>
      <c r="K430">
        <v>1.3</v>
      </c>
      <c r="L430">
        <v>1</v>
      </c>
      <c r="M430" s="4">
        <f>IF(E430&lt;&gt;"",IF(F430&lt;&gt;"",(E430/(F430+1))*J430*K430*L430,""),"")</f>
        <v>354.38265306122446</v>
      </c>
      <c r="N430" t="str">
        <f>IF(M430&lt;&gt;"",IF(M430&gt;150,"Tier 1",IF(M430&gt;50,"Tier 2","Tier 3")),"")</f>
        <v>Tier 1</v>
      </c>
      <c r="O430" t="s">
        <v>373</v>
      </c>
    </row>
    <row r="431" spans="1:17" x14ac:dyDescent="0.25">
      <c r="A431" t="s">
        <v>129</v>
      </c>
      <c r="B431" t="s">
        <v>60</v>
      </c>
      <c r="C431" t="s">
        <v>160</v>
      </c>
      <c r="D431" t="s">
        <v>161</v>
      </c>
      <c r="E431" s="2">
        <v>10416</v>
      </c>
      <c r="F431" s="3">
        <v>48</v>
      </c>
      <c r="G431" s="4">
        <v>0.52</v>
      </c>
      <c r="H431" s="5">
        <v>1.04</v>
      </c>
      <c r="I431" t="s">
        <v>19</v>
      </c>
      <c r="J431">
        <v>1.5</v>
      </c>
      <c r="K431">
        <v>1</v>
      </c>
      <c r="L431">
        <v>0.8</v>
      </c>
      <c r="M431" s="4">
        <f>IF(E431&lt;&gt;"",IF(F431&lt;&gt;"",(E431/(F431+1))*J431*K431*L431,""),"")</f>
        <v>255.08571428571432</v>
      </c>
      <c r="N431" t="str">
        <f>IF(M431&lt;&gt;"",IF(M431&gt;150,"Tier 1",IF(M431&gt;50,"Tier 2","Tier 3")),"")</f>
        <v>Tier 1</v>
      </c>
      <c r="O431" t="s">
        <v>162</v>
      </c>
    </row>
    <row r="432" spans="1:17" x14ac:dyDescent="0.25">
      <c r="A432" t="s">
        <v>129</v>
      </c>
      <c r="B432" t="s">
        <v>43</v>
      </c>
      <c r="C432" t="s">
        <v>149</v>
      </c>
      <c r="D432" t="s">
        <v>150</v>
      </c>
      <c r="E432" s="2">
        <v>6229</v>
      </c>
      <c r="F432" s="3">
        <v>46</v>
      </c>
      <c r="G432" s="4">
        <v>0.52</v>
      </c>
      <c r="H432" s="5">
        <v>1.77</v>
      </c>
      <c r="I432" t="s">
        <v>63</v>
      </c>
      <c r="J432">
        <v>1.5</v>
      </c>
      <c r="K432">
        <v>0.8</v>
      </c>
      <c r="L432">
        <v>1</v>
      </c>
      <c r="M432" s="4">
        <f>IF(E432&lt;&gt;"",IF(F432&lt;&gt;"",(E432/(F432+1))*J432*K432*L432,""),"")</f>
        <v>159.03829787234045</v>
      </c>
      <c r="N432" t="str">
        <f>IF(M432&lt;&gt;"",IF(M432&gt;150,"Tier 1",IF(M432&gt;50,"Tier 2","Tier 3")),"")</f>
        <v>Tier 1</v>
      </c>
      <c r="O432" t="s">
        <v>151</v>
      </c>
    </row>
    <row r="433" spans="1:15" x14ac:dyDescent="0.25">
      <c r="A433" t="s">
        <v>229</v>
      </c>
      <c r="B433" t="s">
        <v>51</v>
      </c>
      <c r="C433" t="s">
        <v>252</v>
      </c>
      <c r="D433" t="s">
        <v>253</v>
      </c>
      <c r="E433" s="2">
        <v>3034</v>
      </c>
      <c r="F433" s="3">
        <v>44</v>
      </c>
      <c r="G433" s="4">
        <v>0.52</v>
      </c>
      <c r="H433" s="5">
        <v>1.91</v>
      </c>
      <c r="I433" t="s">
        <v>19</v>
      </c>
      <c r="J433">
        <v>1.5</v>
      </c>
      <c r="K433">
        <v>1</v>
      </c>
      <c r="L433">
        <v>0.8</v>
      </c>
      <c r="M433" s="4">
        <f>IF(E433&lt;&gt;"",IF(F433&lt;&gt;"",(E433/(F433+1))*J433*K433*L433,""),"")</f>
        <v>80.906666666666666</v>
      </c>
      <c r="N433" t="str">
        <f>IF(M433&lt;&gt;"",IF(M433&gt;150,"Tier 1",IF(M433&gt;50,"Tier 2","Tier 3")),"")</f>
        <v>Tier 2</v>
      </c>
      <c r="O433" t="s">
        <v>254</v>
      </c>
    </row>
  </sheetData>
  <sortState xmlns:xlrd2="http://schemas.microsoft.com/office/spreadsheetml/2017/richdata2" ref="A2:Q433">
    <sortCondition ref="G1:G433"/>
  </sortState>
  <conditionalFormatting sqref="N2:N433">
    <cfRule type="cellIs" dxfId="2" priority="1" operator="equal">
      <formula>"Tier 1"</formula>
    </cfRule>
    <cfRule type="cellIs" dxfId="1" priority="2" operator="equal">
      <formula>"Tier 2"</formula>
    </cfRule>
    <cfRule type="cellIs" dxfId="0" priority="3" operator="equal">
      <formula>"Tier 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SEO Keyword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Rey</cp:lastModifiedBy>
  <dcterms:created xsi:type="dcterms:W3CDTF">2026-01-02T14:32:01Z</dcterms:created>
  <dcterms:modified xsi:type="dcterms:W3CDTF">2026-01-02T16:09:00Z</dcterms:modified>
</cp:coreProperties>
</file>